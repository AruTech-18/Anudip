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44DA3F0A-4A96-4003-A7B2-BF253DB635B0}" xr6:coauthVersionLast="47" xr6:coauthVersionMax="47" xr10:uidLastSave="{00000000-0000-0000-0000-000000000000}"/>
  <bookViews>
    <workbookView xWindow="-108" yWindow="-108" windowWidth="23256" windowHeight="12456" xr2:uid="{1ADA7AA6-781A-4078-81C1-67C43C999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3" i="1" l="1"/>
  <c r="B74" i="1"/>
  <c r="B75" i="1"/>
  <c r="B76" i="1"/>
  <c r="B77" i="1"/>
  <c r="B72" i="1"/>
  <c r="B64" i="1"/>
  <c r="B65" i="1"/>
  <c r="B66" i="1"/>
  <c r="B67" i="1"/>
  <c r="B68" i="1"/>
  <c r="B69" i="1"/>
  <c r="B61" i="1"/>
  <c r="B57" i="1"/>
  <c r="B58" i="1"/>
  <c r="B59" i="1"/>
  <c r="B60" i="1"/>
  <c r="B56" i="1"/>
  <c r="B49" i="1"/>
  <c r="B50" i="1"/>
  <c r="B51" i="1"/>
  <c r="B52" i="1"/>
  <c r="B53" i="1"/>
  <c r="B48" i="1"/>
  <c r="B45" i="1"/>
  <c r="B41" i="1"/>
  <c r="B42" i="1"/>
  <c r="B43" i="1"/>
  <c r="B44" i="1"/>
  <c r="B40" i="1"/>
  <c r="B33" i="1"/>
  <c r="B34" i="1"/>
  <c r="B35" i="1"/>
  <c r="B36" i="1"/>
  <c r="B37" i="1"/>
  <c r="B32" i="1"/>
  <c r="B25" i="1"/>
  <c r="B26" i="1"/>
  <c r="B27" i="1"/>
  <c r="B28" i="1"/>
  <c r="B29" i="1"/>
  <c r="B24" i="1"/>
  <c r="B20" i="1"/>
  <c r="B16" i="1"/>
  <c r="B17" i="1"/>
  <c r="B18" i="1"/>
  <c r="B19" i="1"/>
  <c r="B15" i="1"/>
</calcChain>
</file>

<file path=xl/sharedStrings.xml><?xml version="1.0" encoding="utf-8"?>
<sst xmlns="http://schemas.openxmlformats.org/spreadsheetml/2006/main" count="42" uniqueCount="38">
  <si>
    <t xml:space="preserve">ProductID </t>
  </si>
  <si>
    <t xml:space="preserve">Product  </t>
  </si>
  <si>
    <t>Sales</t>
  </si>
  <si>
    <t xml:space="preserve">Target </t>
  </si>
  <si>
    <t>Region</t>
  </si>
  <si>
    <t xml:space="preserve">Product A  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</si>
  <si>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</si>
  <si>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</si>
  <si>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</si>
  <si>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</si>
  <si>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</si>
  <si>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</si>
  <si>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</si>
  <si>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</si>
  <si>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</si>
  <si>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</si>
  <si>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</si>
  <si>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</si>
  <si>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</si>
  <si>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</si>
  <si>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</si>
  <si>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</si>
  <si>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</si>
  <si>
    <t>Ans 1</t>
  </si>
  <si>
    <t>Target Met</t>
  </si>
  <si>
    <t>Ans 2</t>
  </si>
  <si>
    <t>Bonus</t>
  </si>
  <si>
    <t>Ans 3</t>
  </si>
  <si>
    <t>Commition</t>
  </si>
  <si>
    <t>Ans 4</t>
  </si>
  <si>
    <t>Ans 5</t>
  </si>
  <si>
    <t>Performance</t>
  </si>
  <si>
    <t>Ans 6</t>
  </si>
  <si>
    <t>Price</t>
  </si>
  <si>
    <t>Ans 7</t>
  </si>
  <si>
    <t>Year-End Bonus</t>
  </si>
  <si>
    <t>Ans 8</t>
  </si>
  <si>
    <t>IF Statement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</si>
</sst>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2" fillId="6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F06D-0703-4A2B-87D7-E79201CF531B}">
  <dimension ref="A1:X77"/>
  <sheetViews>
    <sheetView tabSelected="1" workbookViewId="0">
      <selection activeCell="H11" sqref="H11"/>
    </sheetView>
  </sheetViews>
  <sheetFormatPr defaultRowHeight="14.4" x14ac:dyDescent="0.3"/>
  <cols>
    <col min="2" max="2" width="17.77734375" bestFit="1" customWidth="1"/>
    <col min="3" max="3" width="5.109375" bestFit="1" customWidth="1"/>
    <col min="4" max="4" width="6.6640625" bestFit="1" customWidth="1"/>
    <col min="5" max="5" width="6.5546875" bestFit="1" customWidth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8"/>
      <c r="J1" s="9" t="s">
        <v>37</v>
      </c>
      <c r="K1" s="9"/>
    </row>
    <row r="2" spans="1:24" x14ac:dyDescent="0.3">
      <c r="A2" s="1">
        <v>101</v>
      </c>
      <c r="B2" s="1" t="s">
        <v>5</v>
      </c>
      <c r="C2" s="1">
        <v>120</v>
      </c>
      <c r="D2" s="1">
        <v>150</v>
      </c>
      <c r="E2" s="1" t="s">
        <v>11</v>
      </c>
    </row>
    <row r="3" spans="1:24" x14ac:dyDescent="0.3">
      <c r="A3" s="1">
        <v>102</v>
      </c>
      <c r="B3" s="1" t="s">
        <v>6</v>
      </c>
      <c r="C3" s="1">
        <v>150</v>
      </c>
      <c r="D3" s="1">
        <v>140</v>
      </c>
      <c r="E3" s="1" t="s">
        <v>12</v>
      </c>
      <c r="I3" s="3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3">
      <c r="A4" s="1">
        <v>103</v>
      </c>
      <c r="B4" s="1" t="s">
        <v>7</v>
      </c>
      <c r="C4" s="1">
        <v>200</v>
      </c>
      <c r="D4" s="1">
        <v>200</v>
      </c>
      <c r="E4" s="1" t="s">
        <v>13</v>
      </c>
      <c r="I4" s="3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1">
        <v>104</v>
      </c>
      <c r="B5" s="1" t="s">
        <v>8</v>
      </c>
      <c r="C5" s="1">
        <v>90</v>
      </c>
      <c r="D5" s="1">
        <v>100</v>
      </c>
      <c r="E5" s="1" t="s">
        <v>14</v>
      </c>
      <c r="I5" s="3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1">
        <v>105</v>
      </c>
      <c r="B6" s="1" t="s">
        <v>9</v>
      </c>
      <c r="C6" s="1">
        <v>220</v>
      </c>
      <c r="D6" s="1">
        <v>210</v>
      </c>
      <c r="E6" s="1" t="s">
        <v>11</v>
      </c>
      <c r="I6" s="3" t="s">
        <v>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1">
        <v>106</v>
      </c>
      <c r="B7" s="1" t="s">
        <v>10</v>
      </c>
      <c r="C7" s="1">
        <v>130</v>
      </c>
      <c r="D7" s="1">
        <v>160</v>
      </c>
      <c r="E7" s="1" t="s">
        <v>12</v>
      </c>
      <c r="I7" s="3" t="s">
        <v>19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I8" s="3" t="s">
        <v>20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I9" s="3" t="s">
        <v>21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I10" s="3" t="s">
        <v>22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4" spans="1:24" x14ac:dyDescent="0.3">
      <c r="A14" s="6" t="s">
        <v>23</v>
      </c>
      <c r="B14" s="7" t="s">
        <v>24</v>
      </c>
    </row>
    <row r="15" spans="1:24" x14ac:dyDescent="0.3">
      <c r="B15" s="4" t="str">
        <f>IF(C2&gt;=D2,"Met", "Not Met")</f>
        <v>Not Met</v>
      </c>
    </row>
    <row r="16" spans="1:24" x14ac:dyDescent="0.3">
      <c r="B16" s="4" t="str">
        <f t="shared" ref="B16:B19" si="0">IF(C3&gt;=D3,"Met", "Not Met")</f>
        <v>Met</v>
      </c>
    </row>
    <row r="17" spans="1:2" x14ac:dyDescent="0.3">
      <c r="B17" s="4" t="str">
        <f t="shared" si="0"/>
        <v>Met</v>
      </c>
    </row>
    <row r="18" spans="1:2" x14ac:dyDescent="0.3">
      <c r="B18" s="4" t="str">
        <f t="shared" si="0"/>
        <v>Not Met</v>
      </c>
    </row>
    <row r="19" spans="1:2" x14ac:dyDescent="0.3">
      <c r="B19" s="4" t="str">
        <f t="shared" si="0"/>
        <v>Met</v>
      </c>
    </row>
    <row r="20" spans="1:2" x14ac:dyDescent="0.3">
      <c r="B20" s="4" t="str">
        <f>IF(C7&gt;=D7,"Met", "Not Met")</f>
        <v>Not Met</v>
      </c>
    </row>
    <row r="23" spans="1:2" x14ac:dyDescent="0.3">
      <c r="A23" s="6" t="s">
        <v>25</v>
      </c>
      <c r="B23" s="7" t="s">
        <v>26</v>
      </c>
    </row>
    <row r="24" spans="1:2" x14ac:dyDescent="0.3">
      <c r="B24" s="4" t="str">
        <f>IF(AND(E2="North",C2&gt;200),"Eligible","Not Eligible")</f>
        <v>Not Eligible</v>
      </c>
    </row>
    <row r="25" spans="1:2" x14ac:dyDescent="0.3">
      <c r="B25" s="4" t="str">
        <f t="shared" ref="B25:B29" si="1">IF(AND(E3="North",C3&gt;200),"Eligible","Not Eligible")</f>
        <v>Not Eligible</v>
      </c>
    </row>
    <row r="26" spans="1:2" x14ac:dyDescent="0.3">
      <c r="B26" s="4" t="str">
        <f t="shared" si="1"/>
        <v>Not Eligible</v>
      </c>
    </row>
    <row r="27" spans="1:2" x14ac:dyDescent="0.3">
      <c r="B27" s="4" t="str">
        <f t="shared" si="1"/>
        <v>Not Eligible</v>
      </c>
    </row>
    <row r="28" spans="1:2" x14ac:dyDescent="0.3">
      <c r="B28" s="4" t="str">
        <f t="shared" si="1"/>
        <v>Eligible</v>
      </c>
    </row>
    <row r="29" spans="1:2" x14ac:dyDescent="0.3">
      <c r="B29" s="4" t="str">
        <f t="shared" si="1"/>
        <v>Not Eligible</v>
      </c>
    </row>
    <row r="31" spans="1:2" ht="15.6" x14ac:dyDescent="0.3">
      <c r="A31" s="6" t="s">
        <v>27</v>
      </c>
      <c r="B31" s="5" t="s">
        <v>28</v>
      </c>
    </row>
    <row r="32" spans="1:2" x14ac:dyDescent="0.3">
      <c r="B32" s="4">
        <f>IF(C2&gt;200,C2*10%,IF(C2&gt;=150,C2*7%,C2*5%))</f>
        <v>6</v>
      </c>
    </row>
    <row r="33" spans="1:2" x14ac:dyDescent="0.3">
      <c r="B33" s="4">
        <f t="shared" ref="B33:B37" si="2">IF(C3&gt;200,C3*10%,IF(C3&gt;=150,C3*7%,C3*5%))</f>
        <v>10.500000000000002</v>
      </c>
    </row>
    <row r="34" spans="1:2" x14ac:dyDescent="0.3">
      <c r="B34" s="4">
        <f t="shared" si="2"/>
        <v>14.000000000000002</v>
      </c>
    </row>
    <row r="35" spans="1:2" x14ac:dyDescent="0.3">
      <c r="B35" s="4">
        <f t="shared" si="2"/>
        <v>4.5</v>
      </c>
    </row>
    <row r="36" spans="1:2" x14ac:dyDescent="0.3">
      <c r="B36" s="4">
        <f t="shared" si="2"/>
        <v>22</v>
      </c>
    </row>
    <row r="37" spans="1:2" x14ac:dyDescent="0.3">
      <c r="B37" s="4">
        <f t="shared" si="2"/>
        <v>6.5</v>
      </c>
    </row>
    <row r="39" spans="1:2" x14ac:dyDescent="0.3">
      <c r="A39" s="6" t="s">
        <v>29</v>
      </c>
      <c r="B39" s="7" t="s">
        <v>26</v>
      </c>
    </row>
    <row r="40" spans="1:2" x14ac:dyDescent="0.3">
      <c r="B40" s="4">
        <f>IF(C2&gt;=D2,C2*10%,C2*5%)</f>
        <v>6</v>
      </c>
    </row>
    <row r="41" spans="1:2" x14ac:dyDescent="0.3">
      <c r="B41" s="4">
        <f t="shared" ref="B41:B44" si="3">IF(C3&gt;=D3,C3*10%,C3*5%)</f>
        <v>15</v>
      </c>
    </row>
    <row r="42" spans="1:2" x14ac:dyDescent="0.3">
      <c r="B42" s="4">
        <f t="shared" si="3"/>
        <v>20</v>
      </c>
    </row>
    <row r="43" spans="1:2" x14ac:dyDescent="0.3">
      <c r="B43" s="4">
        <f t="shared" si="3"/>
        <v>4.5</v>
      </c>
    </row>
    <row r="44" spans="1:2" x14ac:dyDescent="0.3">
      <c r="B44" s="4">
        <f t="shared" si="3"/>
        <v>22</v>
      </c>
    </row>
    <row r="45" spans="1:2" x14ac:dyDescent="0.3">
      <c r="B45" s="4">
        <f>IF(C7&gt;=D7,C7*10%,C7*5%)</f>
        <v>6.5</v>
      </c>
    </row>
    <row r="47" spans="1:2" x14ac:dyDescent="0.3">
      <c r="A47" s="6" t="s">
        <v>30</v>
      </c>
      <c r="B47" s="7" t="s">
        <v>31</v>
      </c>
    </row>
    <row r="48" spans="1:2" x14ac:dyDescent="0.3">
      <c r="B48" s="4" t="str">
        <f>IF(C2&gt;=200,"Excellent",IF(C2&gt;=150,"Good","Needs Improvement"))</f>
        <v>Needs Improvement</v>
      </c>
    </row>
    <row r="49" spans="1:2" x14ac:dyDescent="0.3">
      <c r="B49" s="4" t="str">
        <f t="shared" ref="B49:B53" si="4">IF(C3&gt;=200,"Excellent",IF(C3&gt;=150,"Good","Needs Improvement"))</f>
        <v>Good</v>
      </c>
    </row>
    <row r="50" spans="1:2" x14ac:dyDescent="0.3">
      <c r="B50" s="4" t="str">
        <f t="shared" si="4"/>
        <v>Excellent</v>
      </c>
    </row>
    <row r="51" spans="1:2" x14ac:dyDescent="0.3">
      <c r="B51" s="4" t="str">
        <f t="shared" si="4"/>
        <v>Needs Improvement</v>
      </c>
    </row>
    <row r="52" spans="1:2" x14ac:dyDescent="0.3">
      <c r="B52" s="4" t="str">
        <f t="shared" si="4"/>
        <v>Excellent</v>
      </c>
    </row>
    <row r="53" spans="1:2" x14ac:dyDescent="0.3">
      <c r="B53" s="4" t="str">
        <f t="shared" si="4"/>
        <v>Needs Improvement</v>
      </c>
    </row>
    <row r="55" spans="1:2" x14ac:dyDescent="0.3">
      <c r="A55" s="6" t="s">
        <v>32</v>
      </c>
      <c r="B55" s="7" t="s">
        <v>33</v>
      </c>
    </row>
    <row r="56" spans="1:2" x14ac:dyDescent="0.3">
      <c r="B56" s="4" t="str">
        <f>IF(C2&gt;200,"High",IF(AND(C2&gt;100,C2&lt;=200),"Medium","Low"))</f>
        <v>Medium</v>
      </c>
    </row>
    <row r="57" spans="1:2" x14ac:dyDescent="0.3">
      <c r="B57" s="4" t="str">
        <f t="shared" ref="B57:B60" si="5">IF(C3&gt;200,"High",IF(AND(C3&gt;100,C3&lt;=200),"Medium","Low"))</f>
        <v>Medium</v>
      </c>
    </row>
    <row r="58" spans="1:2" x14ac:dyDescent="0.3">
      <c r="B58" s="4" t="str">
        <f t="shared" si="5"/>
        <v>Medium</v>
      </c>
    </row>
    <row r="59" spans="1:2" x14ac:dyDescent="0.3">
      <c r="B59" s="4" t="str">
        <f t="shared" si="5"/>
        <v>Low</v>
      </c>
    </row>
    <row r="60" spans="1:2" x14ac:dyDescent="0.3">
      <c r="B60" s="4" t="str">
        <f t="shared" si="5"/>
        <v>High</v>
      </c>
    </row>
    <row r="61" spans="1:2" x14ac:dyDescent="0.3">
      <c r="B61" s="4" t="str">
        <f>IF(C7&gt;200,"High",IF(AND(C7&gt;100,C7&lt;=200),"Medium","Low"))</f>
        <v>Medium</v>
      </c>
    </row>
    <row r="63" spans="1:2" x14ac:dyDescent="0.3">
      <c r="A63" s="6" t="s">
        <v>34</v>
      </c>
      <c r="B63" s="7" t="s">
        <v>35</v>
      </c>
    </row>
    <row r="64" spans="1:2" x14ac:dyDescent="0.3">
      <c r="B64" s="4">
        <f>IF(AND(C2&gt;=150,E2="North"),500,300)</f>
        <v>300</v>
      </c>
    </row>
    <row r="65" spans="1:2" x14ac:dyDescent="0.3">
      <c r="B65" s="4">
        <f t="shared" ref="B65:B69" si="6">IF(AND(C3&gt;=150,E3="North"),500,300)</f>
        <v>300</v>
      </c>
    </row>
    <row r="66" spans="1:2" x14ac:dyDescent="0.3">
      <c r="B66" s="4">
        <f t="shared" si="6"/>
        <v>300</v>
      </c>
    </row>
    <row r="67" spans="1:2" x14ac:dyDescent="0.3">
      <c r="B67" s="4">
        <f t="shared" si="6"/>
        <v>300</v>
      </c>
    </row>
    <row r="68" spans="1:2" x14ac:dyDescent="0.3">
      <c r="B68" s="4">
        <f t="shared" si="6"/>
        <v>500</v>
      </c>
    </row>
    <row r="69" spans="1:2" x14ac:dyDescent="0.3">
      <c r="B69" s="4">
        <f t="shared" si="6"/>
        <v>300</v>
      </c>
    </row>
    <row r="71" spans="1:2" x14ac:dyDescent="0.3">
      <c r="A71" s="6" t="s">
        <v>36</v>
      </c>
      <c r="B71" s="7" t="s">
        <v>31</v>
      </c>
    </row>
    <row r="72" spans="1:2" x14ac:dyDescent="0.3">
      <c r="B72" s="4" t="str">
        <f>IF(C2&gt;=_xlfn.PERCENTILE.INC(C2:C7,0.75),"High Perfomer","Low Performer")</f>
        <v>Low Performer</v>
      </c>
    </row>
    <row r="73" spans="1:2" x14ac:dyDescent="0.3">
      <c r="B73" s="4" t="str">
        <f t="shared" ref="B73:B77" si="7">IF(C3&gt;=_xlfn.PERCENTILE.INC(C3:C8,0.75),"High Perfomer","Low Performer")</f>
        <v>Low Performer</v>
      </c>
    </row>
    <row r="74" spans="1:2" x14ac:dyDescent="0.3">
      <c r="B74" s="4" t="str">
        <f t="shared" si="7"/>
        <v>Low Performer</v>
      </c>
    </row>
    <row r="75" spans="1:2" x14ac:dyDescent="0.3">
      <c r="B75" s="4" t="str">
        <f t="shared" si="7"/>
        <v>Low Performer</v>
      </c>
    </row>
    <row r="76" spans="1:2" x14ac:dyDescent="0.3">
      <c r="B76" s="4" t="str">
        <f t="shared" si="7"/>
        <v>High Perfomer</v>
      </c>
    </row>
    <row r="77" spans="1:2" x14ac:dyDescent="0.3">
      <c r="B77" s="4" t="str">
        <f t="shared" si="7"/>
        <v>High Perfomer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2026-01-31T08:02:34Z</dcterms:created>
  <dcterms:modified xsi:type="dcterms:W3CDTF">2026-01-31T12:56:12Z</dcterms:modified>
</cp:coreProperties>
</file>