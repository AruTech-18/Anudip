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E34BB739-E772-4B9B-BA67-7A2EDADDF6FD}" xr6:coauthVersionLast="47" xr6:coauthVersionMax="47" xr10:uidLastSave="{00000000-0000-0000-0000-000000000000}"/>
  <bookViews>
    <workbookView xWindow="-108" yWindow="-108" windowWidth="23256" windowHeight="12456" xr2:uid="{12042445-BB1A-4361-9888-0F6BECB2D7D3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9" i="2"/>
  <c r="F9" i="2"/>
  <c r="H8" i="2"/>
  <c r="G8" i="2"/>
  <c r="F8" i="2"/>
  <c r="H7" i="2"/>
  <c r="G7" i="2"/>
  <c r="F7" i="2"/>
  <c r="D7" i="2"/>
  <c r="H6" i="2"/>
  <c r="G6" i="2"/>
  <c r="F6" i="2"/>
  <c r="D6" i="2"/>
  <c r="H5" i="2"/>
  <c r="G5" i="2"/>
  <c r="F5" i="2"/>
  <c r="D5" i="2"/>
  <c r="H4" i="2"/>
  <c r="G4" i="2"/>
  <c r="F4" i="2"/>
  <c r="D4" i="2"/>
  <c r="H3" i="2"/>
  <c r="G3" i="2"/>
  <c r="F3" i="2"/>
  <c r="D3" i="2"/>
  <c r="H2" i="2"/>
  <c r="G2" i="2"/>
  <c r="F2" i="2"/>
  <c r="D2" i="2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</calcChain>
</file>

<file path=xl/sharedStrings.xml><?xml version="1.0" encoding="utf-8"?>
<sst xmlns="http://schemas.openxmlformats.org/spreadsheetml/2006/main" count="39" uniqueCount="36">
  <si>
    <t>ProductID</t>
  </si>
  <si>
    <t>Product</t>
  </si>
  <si>
    <t>Price</t>
  </si>
  <si>
    <t>Ord/NotOrd</t>
  </si>
  <si>
    <t>Quantity Sold</t>
  </si>
  <si>
    <t>Product A</t>
  </si>
  <si>
    <t>Product B</t>
  </si>
  <si>
    <t>Product C</t>
  </si>
  <si>
    <t>Product D</t>
  </si>
  <si>
    <t xml:space="preserve">Product E </t>
  </si>
  <si>
    <t>Product F</t>
  </si>
  <si>
    <t>Product H</t>
  </si>
  <si>
    <t>VLookUp Exercises</t>
  </si>
  <si>
    <t>OrderID</t>
  </si>
  <si>
    <t>Quantity</t>
  </si>
  <si>
    <t>Product Name</t>
  </si>
  <si>
    <t>Total Price</t>
  </si>
  <si>
    <t>F/NF</t>
  </si>
  <si>
    <t>Discounted Price</t>
  </si>
  <si>
    <t>Product G</t>
  </si>
  <si>
    <t>Found</t>
  </si>
  <si>
    <t>Max Order Value</t>
  </si>
  <si>
    <t>Q1</t>
  </si>
  <si>
    <t>Use VLOOKUP to find the product names for each ProductID in the Orders worksheet.</t>
  </si>
  <si>
    <t>Q2</t>
  </si>
  <si>
    <t>Use VLOOKUP to find the price for each ProductID in the Orders worksheet, then calculate the Total Price by multiplying the Quantity by the Product Price.</t>
  </si>
  <si>
    <t>Q3</t>
  </si>
  <si>
    <t>Use VLOOKUP to check if there are any ProductIDs in the Orders worksheet that do not exist in the Products worksheet.</t>
  </si>
  <si>
    <t>Q4</t>
  </si>
  <si>
    <t>Assume a discount of 10% is given on all products. Use VLOOKUP to find the original price and then calculate the discounted price.</t>
  </si>
  <si>
    <t>Q5</t>
  </si>
  <si>
    <t>Use VLOOKUP to find the price for each ProductID and then calculate the Order value. Find the maximum order value from the list.</t>
  </si>
  <si>
    <t>Q6</t>
  </si>
  <si>
    <t>Use VLOOKUP to find out which products from the Products worksheet have not been ordered.</t>
  </si>
  <si>
    <t>Q7</t>
  </si>
  <si>
    <t>Use VLOOKUP to find the Product name and summarize the total quantity sold for each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</si>
</sst>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3" borderId="3" xfId="0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OneDrive\Documents\Custom%20Office%20Templates\OneDrive\Desktop\Excel%20Anudip\Book1.xlsx" TargetMode="External"/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  <sheetName val="Sheet5"/>
      <sheetName val="Sheet6"/>
      <sheetName val="Sheet7"/>
    </sheetNames>
    <sheetDataSet>
      <sheetData sheetId="0"/>
      <sheetData sheetId="1">
        <row r="1">
          <cell r="A1" t="str">
            <v>ProductID</v>
          </cell>
          <cell r="B1" t="str">
            <v>Product</v>
          </cell>
          <cell r="C1" t="str">
            <v>Price</v>
          </cell>
        </row>
        <row r="2">
          <cell r="A2">
            <v>101</v>
          </cell>
          <cell r="B2" t="str">
            <v>Product A</v>
          </cell>
          <cell r="C2">
            <v>120</v>
          </cell>
        </row>
        <row r="3">
          <cell r="A3">
            <v>102</v>
          </cell>
          <cell r="B3" t="str">
            <v>Product B</v>
          </cell>
          <cell r="C3">
            <v>150</v>
          </cell>
        </row>
        <row r="4">
          <cell r="A4">
            <v>103</v>
          </cell>
          <cell r="B4" t="str">
            <v>Product C</v>
          </cell>
          <cell r="C4">
            <v>200</v>
          </cell>
        </row>
        <row r="5">
          <cell r="A5">
            <v>104</v>
          </cell>
          <cell r="B5" t="str">
            <v>Product D</v>
          </cell>
          <cell r="C5">
            <v>90</v>
          </cell>
        </row>
        <row r="6">
          <cell r="A6">
            <v>105</v>
          </cell>
          <cell r="B6" t="str">
            <v xml:space="preserve">Product E </v>
          </cell>
          <cell r="C6">
            <v>220</v>
          </cell>
        </row>
        <row r="7">
          <cell r="A7">
            <v>106</v>
          </cell>
          <cell r="B7" t="str">
            <v>Product F</v>
          </cell>
          <cell r="C7">
            <v>130</v>
          </cell>
        </row>
        <row r="8">
          <cell r="A8">
            <v>108</v>
          </cell>
          <cell r="B8" t="str">
            <v>Product H</v>
          </cell>
          <cell r="C8">
            <v>180</v>
          </cell>
        </row>
      </sheetData>
      <sheetData sheetId="2">
        <row r="1">
          <cell r="C1" t="str">
            <v>Quantity</v>
          </cell>
        </row>
        <row r="2">
          <cell r="B2">
            <v>101</v>
          </cell>
          <cell r="C2">
            <v>2</v>
          </cell>
        </row>
        <row r="3">
          <cell r="B3">
            <v>103</v>
          </cell>
          <cell r="C3">
            <v>1</v>
          </cell>
        </row>
        <row r="4">
          <cell r="B4">
            <v>105</v>
          </cell>
          <cell r="C4">
            <v>4</v>
          </cell>
        </row>
        <row r="5">
          <cell r="B5">
            <v>106</v>
          </cell>
          <cell r="C5">
            <v>3</v>
          </cell>
        </row>
        <row r="6">
          <cell r="B6">
            <v>102</v>
          </cell>
          <cell r="C6">
            <v>5</v>
          </cell>
        </row>
        <row r="7">
          <cell r="B7">
            <v>104</v>
          </cell>
          <cell r="C7">
            <v>6</v>
          </cell>
        </row>
        <row r="8">
          <cell r="B8">
            <v>107</v>
          </cell>
          <cell r="C8">
            <v>7</v>
          </cell>
        </row>
        <row r="9">
          <cell r="B9">
            <v>102</v>
          </cell>
          <cell r="C9">
            <v>5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1E46-BBB1-40A5-B43A-962B8E17FA1E}">
  <dimension ref="D3:H13"/>
  <sheetViews>
    <sheetView tabSelected="1" workbookViewId="0">
      <selection activeCell="L7" sqref="L7"/>
    </sheetView>
  </sheetViews>
  <sheetFormatPr defaultRowHeight="14.4" x14ac:dyDescent="0.3"/>
  <cols>
    <col min="5" max="5" width="11.21875" bestFit="1" customWidth="1"/>
    <col min="6" max="6" width="12.44140625" bestFit="1" customWidth="1"/>
    <col min="7" max="7" width="11.21875" bestFit="1" customWidth="1"/>
    <col min="8" max="8" width="12.44140625" bestFit="1" customWidth="1"/>
  </cols>
  <sheetData>
    <row r="3" spans="4:8" x14ac:dyDescent="0.3">
      <c r="E3" s="11"/>
      <c r="F3" s="12" t="s">
        <v>12</v>
      </c>
      <c r="G3" s="11"/>
    </row>
    <row r="6" spans="4:8" x14ac:dyDescent="0.3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</row>
    <row r="7" spans="4:8" x14ac:dyDescent="0.3">
      <c r="D7" s="2">
        <v>101</v>
      </c>
      <c r="E7" s="2" t="s">
        <v>5</v>
      </c>
      <c r="F7" s="2">
        <v>120</v>
      </c>
      <c r="G7" s="3" t="str">
        <f>IF(ISNA(VLOOKUP(D7,[1]Sheet3!C:C,1,0)),"Not Ordered","Ordered")</f>
        <v>Not Ordered</v>
      </c>
      <c r="H7" s="2">
        <f>SUMIF([1]Sheet3!$B$2:$B$9,D7,[1]Sheet3!$C$2:$C$9)</f>
        <v>2</v>
      </c>
    </row>
    <row r="8" spans="4:8" x14ac:dyDescent="0.3">
      <c r="D8" s="2">
        <v>102</v>
      </c>
      <c r="E8" s="2" t="s">
        <v>6</v>
      </c>
      <c r="F8" s="2">
        <v>150</v>
      </c>
      <c r="G8" s="3" t="str">
        <f>IF(ISNA(VLOOKUP(D8,[1]Sheet3!C:C,1,0)),"Not Ordered","Ordered")</f>
        <v>Not Ordered</v>
      </c>
      <c r="H8" s="2">
        <f>SUMIF([1]Sheet3!$B$2:$B$9,D8,[1]Sheet3!$C$2:$C$9)</f>
        <v>10</v>
      </c>
    </row>
    <row r="9" spans="4:8" x14ac:dyDescent="0.3">
      <c r="D9" s="2">
        <v>103</v>
      </c>
      <c r="E9" s="2" t="s">
        <v>7</v>
      </c>
      <c r="F9" s="2">
        <v>200</v>
      </c>
      <c r="G9" s="3" t="str">
        <f>IF(ISNA(VLOOKUP(D9,[1]Sheet3!C:C,1,0)),"Not Ordered","Ordered")</f>
        <v>Not Ordered</v>
      </c>
      <c r="H9" s="2">
        <f>SUMIF([1]Sheet3!$B$2:$B$9,D9,[1]Sheet3!$C$2:$C$9)</f>
        <v>1</v>
      </c>
    </row>
    <row r="10" spans="4:8" x14ac:dyDescent="0.3">
      <c r="D10" s="2">
        <v>104</v>
      </c>
      <c r="E10" s="2" t="s">
        <v>8</v>
      </c>
      <c r="F10" s="2">
        <v>90</v>
      </c>
      <c r="G10" s="3" t="str">
        <f>IF(ISNA(VLOOKUP(D10,[1]Sheet3!C:C,1,0)),"Not Ordered","Ordered")</f>
        <v>Not Ordered</v>
      </c>
      <c r="H10" s="2">
        <f>SUMIF([1]Sheet3!$B$2:$B$9,D10,[1]Sheet3!$C$2:$C$9)</f>
        <v>6</v>
      </c>
    </row>
    <row r="11" spans="4:8" x14ac:dyDescent="0.3">
      <c r="D11" s="2">
        <v>105</v>
      </c>
      <c r="E11" s="2" t="s">
        <v>9</v>
      </c>
      <c r="F11" s="2">
        <v>220</v>
      </c>
      <c r="G11" s="3" t="str">
        <f>IF(ISNA(VLOOKUP(D11,[1]Sheet3!C:C,1,0)),"Not Ordered","Ordered")</f>
        <v>Not Ordered</v>
      </c>
      <c r="H11" s="2">
        <f>SUMIF([1]Sheet3!$B$2:$B$9,D11,[1]Sheet3!$C$2:$C$9)</f>
        <v>4</v>
      </c>
    </row>
    <row r="12" spans="4:8" x14ac:dyDescent="0.3">
      <c r="D12" s="2">
        <v>106</v>
      </c>
      <c r="E12" s="2" t="s">
        <v>10</v>
      </c>
      <c r="F12" s="2">
        <v>130</v>
      </c>
      <c r="G12" s="3" t="str">
        <f>IF(ISNA(VLOOKUP(D12,[1]Sheet3!C:C,1,0)),"Not Ordered","Ordered")</f>
        <v>Not Ordered</v>
      </c>
      <c r="H12" s="2">
        <f>SUMIF([1]Sheet3!$B$2:$B$9,D12,[1]Sheet3!$C$2:$C$9)</f>
        <v>3</v>
      </c>
    </row>
    <row r="13" spans="4:8" x14ac:dyDescent="0.3">
      <c r="D13" s="2">
        <v>108</v>
      </c>
      <c r="E13" s="2" t="s">
        <v>11</v>
      </c>
      <c r="F13" s="2">
        <v>180</v>
      </c>
      <c r="G13" s="3" t="str">
        <f>IF(ISNA(VLOOKUP(D13,[1]Sheet3!C:C,1,0)),"Not Ordered","Ordered")</f>
        <v>Not Ordered</v>
      </c>
      <c r="H13" s="2">
        <f>SUMIF([1]Sheet3!$B$2:$B$9,D13,[1]Sheet3!$C$2:$C$9)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66E3-A68A-4167-9802-496B4E355179}">
  <dimension ref="A1:Z11"/>
  <sheetViews>
    <sheetView topLeftCell="C1" workbookViewId="0">
      <selection activeCell="N16" sqref="N16"/>
    </sheetView>
  </sheetViews>
  <sheetFormatPr defaultRowHeight="14.4" x14ac:dyDescent="0.3"/>
  <cols>
    <col min="4" max="4" width="12.6640625" bestFit="1" customWidth="1"/>
    <col min="7" max="7" width="17" bestFit="1" customWidth="1"/>
    <col min="8" max="8" width="14.6640625" bestFit="1" customWidth="1"/>
  </cols>
  <sheetData>
    <row r="1" spans="1:26" x14ac:dyDescent="0.3">
      <c r="A1" s="4" t="s">
        <v>13</v>
      </c>
      <c r="B1" s="4" t="s">
        <v>0</v>
      </c>
      <c r="C1" s="4" t="s">
        <v>14</v>
      </c>
      <c r="D1" s="4" t="s">
        <v>15</v>
      </c>
      <c r="E1" s="4" t="s">
        <v>2</v>
      </c>
      <c r="F1" s="4" t="s">
        <v>16</v>
      </c>
      <c r="G1" s="4" t="s">
        <v>17</v>
      </c>
      <c r="H1" s="4" t="s">
        <v>18</v>
      </c>
    </row>
    <row r="2" spans="1:26" x14ac:dyDescent="0.3">
      <c r="A2" s="5">
        <v>1</v>
      </c>
      <c r="B2" s="5">
        <v>101</v>
      </c>
      <c r="C2" s="5">
        <v>2</v>
      </c>
      <c r="D2" s="5" t="str">
        <f>VLOOKUP(B2,[1]Sheet2!$A$1:$C$7,2,0)</f>
        <v>Product A</v>
      </c>
      <c r="E2" s="5">
        <v>120</v>
      </c>
      <c r="F2" s="5">
        <f>C2*E2</f>
        <v>240</v>
      </c>
      <c r="G2" s="5" t="str">
        <f>IF(ISNA(VLOOKUP(B2,[1]Sheet2!$A$1:C7,1,0)), "Not Found", "Found")</f>
        <v>Found</v>
      </c>
      <c r="H2" s="5">
        <f>E2*0.9</f>
        <v>108</v>
      </c>
      <c r="L2" s="9" t="s">
        <v>22</v>
      </c>
      <c r="M2" s="10" t="s">
        <v>23</v>
      </c>
      <c r="N2" s="10"/>
      <c r="O2" s="10"/>
      <c r="P2" s="10"/>
      <c r="Q2" s="10"/>
      <c r="R2" s="10"/>
      <c r="S2" s="10"/>
      <c r="T2" s="10"/>
    </row>
    <row r="3" spans="1:26" x14ac:dyDescent="0.3">
      <c r="A3" s="5">
        <v>2</v>
      </c>
      <c r="B3" s="5">
        <v>103</v>
      </c>
      <c r="C3" s="5">
        <v>1</v>
      </c>
      <c r="D3" s="5" t="str">
        <f>VLOOKUP(B3,[1]Sheet2!$A$1:$C$7,2,0)</f>
        <v>Product C</v>
      </c>
      <c r="E3" s="5">
        <v>200</v>
      </c>
      <c r="F3" s="5">
        <f t="shared" ref="F3:F9" si="0">C3*E3</f>
        <v>200</v>
      </c>
      <c r="G3" s="5" t="str">
        <f>IF(ISNA(VLOOKUP(B3,[1]Sheet2!$A$1:C8,1,0)), "Not Found", "Found")</f>
        <v>Found</v>
      </c>
      <c r="H3" s="5">
        <f t="shared" ref="H3:H9" si="1">E3*0.9</f>
        <v>180</v>
      </c>
      <c r="L3" s="9" t="s">
        <v>24</v>
      </c>
      <c r="M3" s="3" t="s">
        <v>25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5">
        <v>3</v>
      </c>
      <c r="B4" s="5">
        <v>105</v>
      </c>
      <c r="C4" s="5">
        <v>4</v>
      </c>
      <c r="D4" s="5" t="str">
        <f>VLOOKUP(B4,[1]Sheet2!$A$1:$C$7,2,0)</f>
        <v xml:space="preserve">Product E </v>
      </c>
      <c r="E4" s="5">
        <v>220</v>
      </c>
      <c r="F4" s="5">
        <f t="shared" si="0"/>
        <v>880</v>
      </c>
      <c r="G4" s="5" t="str">
        <f>IF(ISNA(VLOOKUP(B4,[1]Sheet2!$A$1:C9,1,0)), "Not Found", "Found")</f>
        <v>Found</v>
      </c>
      <c r="H4" s="5">
        <f t="shared" si="1"/>
        <v>198</v>
      </c>
      <c r="L4" s="9" t="s">
        <v>26</v>
      </c>
      <c r="M4" s="10" t="s">
        <v>27</v>
      </c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6" x14ac:dyDescent="0.3">
      <c r="A5" s="5">
        <v>4</v>
      </c>
      <c r="B5" s="5">
        <v>106</v>
      </c>
      <c r="C5" s="5">
        <v>3</v>
      </c>
      <c r="D5" s="5" t="str">
        <f>VLOOKUP(B5,[1]Sheet2!$A$1:$C$7,2,0)</f>
        <v>Product F</v>
      </c>
      <c r="E5" s="5">
        <v>130</v>
      </c>
      <c r="F5" s="5">
        <f t="shared" si="0"/>
        <v>390</v>
      </c>
      <c r="G5" s="5" t="str">
        <f>IF(ISNA(VLOOKUP(B5,[1]Sheet2!$A$1:C10,1,0)), "Not Found", "Found")</f>
        <v>Found</v>
      </c>
      <c r="H5" s="5">
        <f t="shared" si="1"/>
        <v>117</v>
      </c>
      <c r="L5" s="9" t="s">
        <v>28</v>
      </c>
      <c r="M5" s="3" t="s">
        <v>29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6" x14ac:dyDescent="0.3">
      <c r="A6" s="5">
        <v>5</v>
      </c>
      <c r="B6" s="5">
        <v>102</v>
      </c>
      <c r="C6" s="5">
        <v>5</v>
      </c>
      <c r="D6" s="5" t="str">
        <f>VLOOKUP(B6,[1]Sheet2!$A$1:$C$7,2,0)</f>
        <v>Product B</v>
      </c>
      <c r="E6" s="5">
        <v>150</v>
      </c>
      <c r="F6" s="5">
        <f t="shared" si="0"/>
        <v>750</v>
      </c>
      <c r="G6" s="5" t="str">
        <f>IF(ISNA(VLOOKUP(B6,[1]Sheet2!$A$1:C11,1,0)), "Not Found", "Found")</f>
        <v>Found</v>
      </c>
      <c r="H6" s="5">
        <f t="shared" si="1"/>
        <v>135</v>
      </c>
      <c r="L6" s="9" t="s">
        <v>30</v>
      </c>
      <c r="M6" s="3" t="s">
        <v>31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6" x14ac:dyDescent="0.3">
      <c r="A7" s="5">
        <v>6</v>
      </c>
      <c r="B7" s="5">
        <v>104</v>
      </c>
      <c r="C7" s="5">
        <v>6</v>
      </c>
      <c r="D7" s="5" t="str">
        <f>VLOOKUP(B7,[1]Sheet2!$A$1:$C$7,2,0)</f>
        <v>Product D</v>
      </c>
      <c r="E7" s="5">
        <v>90</v>
      </c>
      <c r="F7" s="5">
        <f t="shared" si="0"/>
        <v>540</v>
      </c>
      <c r="G7" s="5" t="str">
        <f>IF(ISNA(VLOOKUP(B7,[1]Sheet2!$A$1:C12,1,0)), "Not Found", "Found")</f>
        <v>Found</v>
      </c>
      <c r="H7" s="5">
        <f t="shared" si="1"/>
        <v>81</v>
      </c>
      <c r="L7" s="9" t="s">
        <v>32</v>
      </c>
      <c r="M7" s="3" t="s">
        <v>33</v>
      </c>
      <c r="N7" s="3"/>
      <c r="O7" s="3"/>
      <c r="P7" s="3"/>
      <c r="Q7" s="3"/>
      <c r="R7" s="3"/>
      <c r="S7" s="3"/>
      <c r="T7" s="3"/>
      <c r="U7" s="3"/>
    </row>
    <row r="8" spans="1:26" x14ac:dyDescent="0.3">
      <c r="A8" s="5">
        <v>7</v>
      </c>
      <c r="B8" s="5">
        <v>107</v>
      </c>
      <c r="C8" s="5">
        <v>7</v>
      </c>
      <c r="D8" s="5" t="s">
        <v>19</v>
      </c>
      <c r="E8" s="5">
        <v>110</v>
      </c>
      <c r="F8" s="5">
        <f t="shared" si="0"/>
        <v>770</v>
      </c>
      <c r="G8" s="5" t="str">
        <f>IF(ISNA(VLOOKUP(B8,[1]Sheet2!$A$1:C13,1,0)), "Not Found", "Found")</f>
        <v>Not Found</v>
      </c>
      <c r="H8" s="5">
        <f t="shared" si="1"/>
        <v>99</v>
      </c>
      <c r="L8" s="9" t="s">
        <v>34</v>
      </c>
      <c r="M8" s="3" t="s">
        <v>35</v>
      </c>
      <c r="N8" s="3"/>
      <c r="O8" s="3"/>
      <c r="P8" s="3"/>
      <c r="Q8" s="3"/>
      <c r="R8" s="3"/>
      <c r="S8" s="3"/>
      <c r="T8" s="3"/>
      <c r="U8" s="3"/>
    </row>
    <row r="9" spans="1:26" x14ac:dyDescent="0.3">
      <c r="A9" s="5">
        <v>8</v>
      </c>
      <c r="B9" s="5">
        <v>102</v>
      </c>
      <c r="C9" s="5">
        <v>5</v>
      </c>
      <c r="D9" s="5" t="s">
        <v>6</v>
      </c>
      <c r="E9" s="5">
        <v>150</v>
      </c>
      <c r="F9" s="5">
        <f t="shared" si="0"/>
        <v>750</v>
      </c>
      <c r="G9" s="6" t="s">
        <v>20</v>
      </c>
      <c r="H9" s="5">
        <f t="shared" si="1"/>
        <v>135</v>
      </c>
    </row>
    <row r="11" spans="1:26" ht="15.6" x14ac:dyDescent="0.3">
      <c r="G11" s="7" t="s">
        <v>21</v>
      </c>
      <c r="H11" s="8">
        <f>MAX(F2:F8)</f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2026-01-14T04:06:37Z</dcterms:created>
  <dcterms:modified xsi:type="dcterms:W3CDTF">2026-01-14T05:31:18Z</dcterms:modified>
</cp:coreProperties>
</file>