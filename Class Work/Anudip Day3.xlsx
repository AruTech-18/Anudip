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Custom Office Templates\OneDrive\Desktop\Excel Anudip\"/>
    </mc:Choice>
  </mc:AlternateContent>
  <xr:revisionPtr revIDLastSave="0" documentId="8_{DD9013B5-860C-46F7-933C-04F62854A38F}" xr6:coauthVersionLast="47" xr6:coauthVersionMax="47" xr10:uidLastSave="{00000000-0000-0000-0000-000000000000}"/>
  <bookViews>
    <workbookView xWindow="-108" yWindow="-108" windowWidth="23256" windowHeight="12456" xr2:uid="{BC4C19C6-B152-45FA-AFA8-19B71BF7B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1" l="1"/>
  <c r="R15" i="1"/>
  <c r="R14" i="1"/>
  <c r="R13" i="1"/>
  <c r="R12" i="1"/>
  <c r="R11" i="1"/>
  <c r="O12" i="1"/>
  <c r="O13" i="1"/>
  <c r="O14" i="1"/>
  <c r="O15" i="1"/>
  <c r="O16" i="1"/>
  <c r="O17" i="1"/>
  <c r="O18" i="1"/>
  <c r="O19" i="1"/>
  <c r="O20" i="1"/>
  <c r="O11" i="1"/>
</calcChain>
</file>

<file path=xl/sharedStrings.xml><?xml version="1.0" encoding="utf-8"?>
<sst xmlns="http://schemas.openxmlformats.org/spreadsheetml/2006/main" count="44" uniqueCount="26">
  <si>
    <t>OrderID</t>
  </si>
  <si>
    <t>Region</t>
  </si>
  <si>
    <t>Category</t>
  </si>
  <si>
    <t>Sales</t>
  </si>
  <si>
    <t>Quantity</t>
  </si>
  <si>
    <t>Month</t>
  </si>
  <si>
    <t>East</t>
  </si>
  <si>
    <t>Electronics</t>
  </si>
  <si>
    <t>Jan</t>
  </si>
  <si>
    <t>West</t>
  </si>
  <si>
    <t>Furniture</t>
  </si>
  <si>
    <t>Feb</t>
  </si>
  <si>
    <t>South</t>
  </si>
  <si>
    <t>Clothing</t>
  </si>
  <si>
    <t>North</t>
  </si>
  <si>
    <t>Mar</t>
  </si>
  <si>
    <t>Apr</t>
  </si>
  <si>
    <t>May</t>
  </si>
  <si>
    <t>Q1</t>
  </si>
  <si>
    <t>Total Sales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</si>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</sst>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1836-277E-432E-B93D-C14C369B4CB1}">
  <dimension ref="I9:R20"/>
  <sheetViews>
    <sheetView tabSelected="1" workbookViewId="0">
      <selection activeCell="I2" sqref="I2"/>
    </sheetView>
  </sheetViews>
  <sheetFormatPr defaultRowHeight="14.4" x14ac:dyDescent="0.3"/>
  <cols>
    <col min="9" max="9" width="7.44140625" bestFit="1" customWidth="1"/>
    <col min="10" max="10" width="6.5546875" bestFit="1" customWidth="1"/>
    <col min="11" max="11" width="9.88671875" bestFit="1" customWidth="1"/>
    <col min="12" max="12" width="6" bestFit="1" customWidth="1"/>
    <col min="13" max="13" width="8" bestFit="1" customWidth="1"/>
    <col min="14" max="14" width="6.44140625" bestFit="1" customWidth="1"/>
    <col min="15" max="15" width="9.77734375" bestFit="1" customWidth="1"/>
  </cols>
  <sheetData>
    <row r="9" spans="9:18" x14ac:dyDescent="0.3">
      <c r="O9" s="5" t="s">
        <v>18</v>
      </c>
    </row>
    <row r="10" spans="9:18" x14ac:dyDescent="0.3">
      <c r="I10" s="1" t="s">
        <v>0</v>
      </c>
      <c r="J10" s="1" t="s">
        <v>1</v>
      </c>
      <c r="K10" s="2" t="s">
        <v>2</v>
      </c>
      <c r="L10" s="1" t="s">
        <v>3</v>
      </c>
      <c r="M10" s="1" t="s">
        <v>4</v>
      </c>
      <c r="N10" s="1" t="s">
        <v>5</v>
      </c>
      <c r="O10" s="1" t="s">
        <v>19</v>
      </c>
    </row>
    <row r="11" spans="9:18" x14ac:dyDescent="0.3">
      <c r="I11" s="3">
        <v>101</v>
      </c>
      <c r="J11" s="3" t="s">
        <v>6</v>
      </c>
      <c r="K11" s="4" t="s">
        <v>7</v>
      </c>
      <c r="L11" s="3">
        <v>25000</v>
      </c>
      <c r="M11" s="3">
        <v>5</v>
      </c>
      <c r="N11" s="3" t="s">
        <v>8</v>
      </c>
      <c r="O11" s="3">
        <f>L11*M11</f>
        <v>125000</v>
      </c>
      <c r="Q11" s="5" t="s">
        <v>20</v>
      </c>
      <c r="R11" s="6">
        <f>SUMIF(J11:J20,"East",O11:O20)</f>
        <v>494000</v>
      </c>
    </row>
    <row r="12" spans="9:18" x14ac:dyDescent="0.3">
      <c r="I12" s="3">
        <v>102</v>
      </c>
      <c r="J12" s="3" t="s">
        <v>9</v>
      </c>
      <c r="K12" s="4" t="s">
        <v>10</v>
      </c>
      <c r="L12" s="3">
        <v>18000</v>
      </c>
      <c r="M12" s="3">
        <v>3</v>
      </c>
      <c r="N12" s="3" t="s">
        <v>8</v>
      </c>
      <c r="O12" s="3">
        <f t="shared" ref="O12:O20" si="0">L12*M12</f>
        <v>54000</v>
      </c>
      <c r="Q12" s="5" t="s">
        <v>21</v>
      </c>
      <c r="R12" s="6">
        <f>SUMIF(K11:K20,"Electronics",O11:O20)</f>
        <v>757000</v>
      </c>
    </row>
    <row r="13" spans="9:18" x14ac:dyDescent="0.3">
      <c r="I13" s="3">
        <v>103</v>
      </c>
      <c r="J13" s="3" t="s">
        <v>6</v>
      </c>
      <c r="K13" s="4" t="s">
        <v>7</v>
      </c>
      <c r="L13" s="3">
        <v>30000</v>
      </c>
      <c r="M13" s="3">
        <v>6</v>
      </c>
      <c r="N13" s="3" t="s">
        <v>11</v>
      </c>
      <c r="O13" s="3">
        <f t="shared" si="0"/>
        <v>180000</v>
      </c>
      <c r="Q13" s="5" t="s">
        <v>22</v>
      </c>
      <c r="R13" s="6">
        <f>SUMIFS(O11:O20, J11:J20, "East", K11:K20, "Electronics")</f>
        <v>305000</v>
      </c>
    </row>
    <row r="14" spans="9:18" x14ac:dyDescent="0.3">
      <c r="I14" s="3">
        <v>104</v>
      </c>
      <c r="J14" s="3" t="s">
        <v>12</v>
      </c>
      <c r="K14" s="4" t="s">
        <v>13</v>
      </c>
      <c r="L14" s="3">
        <v>12000</v>
      </c>
      <c r="M14" s="3">
        <v>4</v>
      </c>
      <c r="N14" s="3" t="s">
        <v>11</v>
      </c>
      <c r="O14" s="3">
        <f t="shared" si="0"/>
        <v>48000</v>
      </c>
      <c r="Q14" s="5" t="s">
        <v>23</v>
      </c>
      <c r="R14" s="6">
        <f>SUMIF(N11:N20, "Jan", O11:O20)</f>
        <v>179000</v>
      </c>
    </row>
    <row r="15" spans="9:18" x14ac:dyDescent="0.3">
      <c r="I15" s="3">
        <v>105</v>
      </c>
      <c r="J15" s="3" t="s">
        <v>14</v>
      </c>
      <c r="K15" s="4" t="s">
        <v>10</v>
      </c>
      <c r="L15" s="3">
        <v>22000</v>
      </c>
      <c r="M15" s="3">
        <v>5</v>
      </c>
      <c r="N15" s="3" t="s">
        <v>15</v>
      </c>
      <c r="O15" s="3">
        <f t="shared" si="0"/>
        <v>110000</v>
      </c>
      <c r="Q15" s="5" t="s">
        <v>24</v>
      </c>
      <c r="R15" s="6">
        <f>SUMIF(K11:K20, "Electronics", M11:M20)</f>
        <v>26</v>
      </c>
    </row>
    <row r="16" spans="9:18" x14ac:dyDescent="0.3">
      <c r="I16" s="3">
        <v>106</v>
      </c>
      <c r="J16" s="3" t="s">
        <v>6</v>
      </c>
      <c r="K16" s="4" t="s">
        <v>13</v>
      </c>
      <c r="L16" s="3">
        <v>15000</v>
      </c>
      <c r="M16" s="3">
        <v>3</v>
      </c>
      <c r="N16" s="3" t="s">
        <v>15</v>
      </c>
      <c r="O16" s="3">
        <f t="shared" si="0"/>
        <v>45000</v>
      </c>
      <c r="Q16" s="5" t="s">
        <v>25</v>
      </c>
      <c r="R16" s="6">
        <f>SUMIFS(M11:M20, J11:J20, "East", K11:K20, "Electronics")</f>
        <v>11</v>
      </c>
    </row>
    <row r="17" spans="9:15" x14ac:dyDescent="0.3">
      <c r="I17" s="3">
        <v>107</v>
      </c>
      <c r="J17" s="3" t="s">
        <v>9</v>
      </c>
      <c r="K17" s="4" t="s">
        <v>7</v>
      </c>
      <c r="L17" s="3">
        <v>28000</v>
      </c>
      <c r="M17" s="3">
        <v>7</v>
      </c>
      <c r="N17" s="3" t="s">
        <v>16</v>
      </c>
      <c r="O17" s="3">
        <f t="shared" si="0"/>
        <v>196000</v>
      </c>
    </row>
    <row r="18" spans="9:15" x14ac:dyDescent="0.3">
      <c r="I18" s="3">
        <v>108</v>
      </c>
      <c r="J18" s="3" t="s">
        <v>12</v>
      </c>
      <c r="K18" s="4" t="s">
        <v>10</v>
      </c>
      <c r="L18" s="3">
        <v>20000</v>
      </c>
      <c r="M18" s="3">
        <v>4</v>
      </c>
      <c r="N18" s="3" t="s">
        <v>16</v>
      </c>
      <c r="O18" s="3">
        <f t="shared" si="0"/>
        <v>80000</v>
      </c>
    </row>
    <row r="19" spans="9:15" x14ac:dyDescent="0.3">
      <c r="I19" s="3">
        <v>109</v>
      </c>
      <c r="J19" s="3" t="s">
        <v>14</v>
      </c>
      <c r="K19" s="4" t="s">
        <v>7</v>
      </c>
      <c r="L19" s="3">
        <v>32000</v>
      </c>
      <c r="M19" s="3">
        <v>8</v>
      </c>
      <c r="N19" s="3" t="s">
        <v>17</v>
      </c>
      <c r="O19" s="3">
        <f t="shared" si="0"/>
        <v>256000</v>
      </c>
    </row>
    <row r="20" spans="9:15" x14ac:dyDescent="0.3">
      <c r="I20" s="3">
        <v>110</v>
      </c>
      <c r="J20" s="3" t="s">
        <v>6</v>
      </c>
      <c r="K20" s="4" t="s">
        <v>10</v>
      </c>
      <c r="L20" s="3">
        <v>24000</v>
      </c>
      <c r="M20" s="3">
        <v>6</v>
      </c>
      <c r="N20" s="3" t="s">
        <v>17</v>
      </c>
      <c r="O20" s="3">
        <f t="shared" si="0"/>
        <v>144000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Arunangshu Bachaspati</dc:creator>
  <cp:lastModifiedBy>Arunangshu Bachaspati</cp:lastModifiedBy>
  <dcterms:created xsi:type="dcterms:W3CDTF">2026-01-12T03:55:06Z</dcterms:created>
  <dcterms:modified xsi:type="dcterms:W3CDTF">2026-01-12T04:46:30Z</dcterms:modified>
</cp:coreProperties>
</file>