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OneDrive\Documents\Custom Office Templates\OneDrive\Desktop\Excel Anudip\"/>
    </mc:Choice>
  </mc:AlternateContent>
  <xr:revisionPtr revIDLastSave="0" documentId="8_{29FF19B9-2A23-40B5-8FD8-F001277BA846}" xr6:coauthVersionLast="47" xr6:coauthVersionMax="47" xr10:uidLastSave="{00000000-0000-0000-0000-000000000000}"/>
  <bookViews>
    <workbookView xWindow="-108" yWindow="-108" windowWidth="23256" windowHeight="12456" firstSheet="1" activeTab="7" xr2:uid="{08BE30F1-43BC-4B04-996E-31EAD49F07FA}"/>
  </bookViews>
  <sheets>
    <sheet name="Data" sheetId="1" r:id="rId1"/>
    <sheet name="Index &amp; Match" sheetId="4" r:id="rId2"/>
    <sheet name="VLookUp" sheetId="2" r:id="rId3"/>
    <sheet name="HLookUp" sheetId="3" r:id="rId4"/>
    <sheet name="Count &amp; Sum" sheetId="5" r:id="rId5"/>
    <sheet name="Conditional Formatting" sheetId="7" r:id="rId6"/>
    <sheet name="PivotTable" sheetId="13" r:id="rId7"/>
    <sheet name="Pivot Chart" sheetId="14" r:id="rId8"/>
  </sheets>
  <definedNames>
    <definedName name="_xlnm._FilterDatabase" localSheetId="4" hidden="1">'Count &amp; Sum'!$A$1:$B$2</definedName>
    <definedName name="Slicer_Country">#N/A</definedName>
    <definedName name="Slicer_Region">#N/A</definedName>
    <definedName name="Slicer_Sales">#N/A</definedName>
  </definedNames>
  <calcPr calcId="191029"/>
  <pivotCaches>
    <pivotCache cacheId="17"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 i="5" l="1"/>
  <c r="E11" i="5"/>
  <c r="E18" i="5"/>
  <c r="E17" i="5"/>
  <c r="E16" i="5"/>
  <c r="E15" i="5"/>
  <c r="E14" i="5"/>
  <c r="E21" i="5"/>
  <c r="D21" i="5"/>
  <c r="I24" i="5"/>
  <c r="H24" i="5"/>
  <c r="G24" i="5"/>
  <c r="F24" i="5"/>
  <c r="E24" i="5"/>
  <c r="D24" i="5"/>
  <c r="I20" i="5"/>
  <c r="H20" i="5"/>
  <c r="G20" i="5"/>
  <c r="H8" i="5"/>
  <c r="H9" i="5"/>
  <c r="H10" i="5"/>
  <c r="H7" i="5"/>
  <c r="H14" i="5"/>
  <c r="H15" i="5"/>
  <c r="H16" i="5"/>
  <c r="H17" i="5"/>
  <c r="H13" i="5"/>
  <c r="E8" i="5"/>
  <c r="E9" i="5"/>
  <c r="E10" i="5"/>
  <c r="E12" i="5"/>
  <c r="E7" i="5"/>
  <c r="H3" i="5"/>
  <c r="H4" i="5"/>
  <c r="H2" i="5"/>
  <c r="E3" i="5"/>
  <c r="E4" i="5"/>
  <c r="E2" i="5"/>
  <c r="B3" i="5"/>
  <c r="B4" i="5"/>
  <c r="B5" i="5"/>
  <c r="B6" i="5"/>
  <c r="B7" i="5"/>
  <c r="B8" i="5"/>
  <c r="B9" i="5"/>
  <c r="B10"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 i="5"/>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7" i="4"/>
  <c r="D23" i="3"/>
  <c r="C23" i="3"/>
  <c r="B23" i="3"/>
  <c r="GS19" i="3"/>
  <c r="GR19" i="3"/>
  <c r="GQ19" i="3"/>
  <c r="GP19" i="3"/>
  <c r="GO19" i="3"/>
  <c r="GN19" i="3"/>
  <c r="GM19" i="3"/>
  <c r="GL19" i="3"/>
  <c r="GK19" i="3"/>
  <c r="GJ19" i="3"/>
  <c r="GI19" i="3"/>
  <c r="GH19" i="3"/>
  <c r="GG19" i="3"/>
  <c r="GF19" i="3"/>
  <c r="GE19" i="3"/>
  <c r="GD19" i="3"/>
  <c r="GC19" i="3"/>
  <c r="GB19" i="3"/>
  <c r="GA19" i="3"/>
  <c r="FZ19" i="3"/>
  <c r="FY19" i="3"/>
  <c r="FX19" i="3"/>
  <c r="FW19" i="3"/>
  <c r="FV19" i="3"/>
  <c r="FU19" i="3"/>
  <c r="FT19" i="3"/>
  <c r="FS19" i="3"/>
  <c r="FR19" i="3"/>
  <c r="FQ19" i="3"/>
  <c r="FP19" i="3"/>
  <c r="FO19" i="3"/>
  <c r="FN19" i="3"/>
  <c r="FM19" i="3"/>
  <c r="FL19" i="3"/>
  <c r="FK19" i="3"/>
  <c r="FJ19" i="3"/>
  <c r="FI19" i="3"/>
  <c r="FH19" i="3"/>
  <c r="FG19" i="3"/>
  <c r="FF19" i="3"/>
  <c r="FE19" i="3"/>
  <c r="FD19" i="3"/>
  <c r="FC19" i="3"/>
  <c r="FB19" i="3"/>
  <c r="FA19" i="3"/>
  <c r="EZ19" i="3"/>
  <c r="EY19" i="3"/>
  <c r="EX19" i="3"/>
  <c r="EW19" i="3"/>
  <c r="EV19" i="3"/>
  <c r="EU19" i="3"/>
  <c r="ET19" i="3"/>
  <c r="ES19" i="3"/>
  <c r="ER19" i="3"/>
  <c r="EQ19" i="3"/>
  <c r="EP19" i="3"/>
  <c r="EO19" i="3"/>
  <c r="EN19" i="3"/>
  <c r="EM19" i="3"/>
  <c r="EL19" i="3"/>
  <c r="EK19" i="3"/>
  <c r="EJ19" i="3"/>
  <c r="EI19" i="3"/>
  <c r="EH19" i="3"/>
  <c r="EG19" i="3"/>
  <c r="EF19" i="3"/>
  <c r="EE19" i="3"/>
  <c r="ED19" i="3"/>
  <c r="EC19" i="3"/>
  <c r="EB19" i="3"/>
  <c r="EA19" i="3"/>
  <c r="DZ19" i="3"/>
  <c r="DY19" i="3"/>
  <c r="DX19" i="3"/>
  <c r="DW19" i="3"/>
  <c r="DV19" i="3"/>
  <c r="DU19" i="3"/>
  <c r="DT19" i="3"/>
  <c r="DS19" i="3"/>
  <c r="DR19" i="3"/>
  <c r="DQ19" i="3"/>
  <c r="DP19" i="3"/>
  <c r="DO19" i="3"/>
  <c r="DN19" i="3"/>
  <c r="DM19" i="3"/>
  <c r="DL19" i="3"/>
  <c r="DK19" i="3"/>
  <c r="DJ19" i="3"/>
  <c r="DI19" i="3"/>
  <c r="DH19" i="3"/>
  <c r="DG19" i="3"/>
  <c r="DF19" i="3"/>
  <c r="DE19" i="3"/>
  <c r="DD19" i="3"/>
  <c r="DC19" i="3"/>
  <c r="DB19" i="3"/>
  <c r="DA19" i="3"/>
  <c r="CZ19" i="3"/>
  <c r="CY19" i="3"/>
  <c r="CX19" i="3"/>
  <c r="CW19" i="3"/>
  <c r="CV19" i="3"/>
  <c r="CU19" i="3"/>
  <c r="CT19" i="3"/>
  <c r="CS19" i="3"/>
  <c r="CR19" i="3"/>
  <c r="CQ19" i="3"/>
  <c r="CP19" i="3"/>
  <c r="CO19" i="3"/>
  <c r="CN19" i="3"/>
  <c r="CM19" i="3"/>
  <c r="CL19" i="3"/>
  <c r="CK19" i="3"/>
  <c r="CJ19" i="3"/>
  <c r="CI19" i="3"/>
  <c r="CH19" i="3"/>
  <c r="CG19" i="3"/>
  <c r="CF19" i="3"/>
  <c r="CE19" i="3"/>
  <c r="CD19" i="3"/>
  <c r="CC19" i="3"/>
  <c r="CB19" i="3"/>
  <c r="CA19" i="3"/>
  <c r="BZ19" i="3"/>
  <c r="BY19" i="3"/>
  <c r="BX19" i="3"/>
  <c r="BW19" i="3"/>
  <c r="BV19" i="3"/>
  <c r="BU19" i="3"/>
  <c r="BT19" i="3"/>
  <c r="BS19" i="3"/>
  <c r="BR19" i="3"/>
  <c r="BQ19" i="3"/>
  <c r="BP19" i="3"/>
  <c r="BO19" i="3"/>
  <c r="BN19" i="3"/>
  <c r="BM19" i="3"/>
  <c r="BL19" i="3"/>
  <c r="BK19" i="3"/>
  <c r="BJ19" i="3"/>
  <c r="BI19" i="3"/>
  <c r="BH19" i="3"/>
  <c r="BG19" i="3"/>
  <c r="BF19" i="3"/>
  <c r="BE19" i="3"/>
  <c r="BD19" i="3"/>
  <c r="BC19" i="3"/>
  <c r="BB19" i="3"/>
  <c r="BA19" i="3"/>
  <c r="AZ19" i="3"/>
  <c r="AY19" i="3"/>
  <c r="AX19" i="3"/>
  <c r="AW19" i="3"/>
  <c r="AV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D19" i="3"/>
  <c r="C19" i="3"/>
  <c r="B19" i="3"/>
  <c r="B8" i="2"/>
  <c r="C8" i="2"/>
  <c r="D8" i="2"/>
  <c r="E8" i="2"/>
  <c r="F8" i="2"/>
  <c r="G8" i="2"/>
  <c r="B9" i="2"/>
  <c r="C9" i="2"/>
  <c r="D9" i="2"/>
  <c r="E9" i="2"/>
  <c r="F9" i="2"/>
  <c r="G9" i="2"/>
  <c r="B10" i="2"/>
  <c r="C10" i="2"/>
  <c r="D10" i="2"/>
  <c r="E10" i="2"/>
  <c r="F10" i="2"/>
  <c r="G10" i="2"/>
  <c r="B11" i="2"/>
  <c r="C11" i="2"/>
  <c r="D11" i="2"/>
  <c r="E11" i="2"/>
  <c r="F11" i="2"/>
  <c r="G11" i="2"/>
  <c r="B12" i="2"/>
  <c r="C12" i="2"/>
  <c r="D12" i="2"/>
  <c r="E12" i="2"/>
  <c r="F12" i="2"/>
  <c r="G12" i="2"/>
  <c r="B13" i="2"/>
  <c r="C13" i="2"/>
  <c r="D13" i="2"/>
  <c r="E13" i="2"/>
  <c r="F13" i="2"/>
  <c r="G13" i="2"/>
  <c r="B14" i="2"/>
  <c r="C14" i="2"/>
  <c r="D14" i="2"/>
  <c r="E14" i="2"/>
  <c r="F14" i="2"/>
  <c r="G14" i="2"/>
  <c r="B15" i="2"/>
  <c r="C15" i="2"/>
  <c r="D15" i="2"/>
  <c r="E15" i="2"/>
  <c r="F15" i="2"/>
  <c r="G15" i="2"/>
  <c r="B16" i="2"/>
  <c r="C16" i="2"/>
  <c r="D16" i="2"/>
  <c r="E16" i="2"/>
  <c r="F16" i="2"/>
  <c r="G16" i="2"/>
  <c r="B17" i="2"/>
  <c r="C17" i="2"/>
  <c r="D17" i="2"/>
  <c r="E17" i="2"/>
  <c r="F17" i="2"/>
  <c r="G17" i="2"/>
  <c r="B18" i="2"/>
  <c r="C18" i="2"/>
  <c r="D18" i="2"/>
  <c r="E18" i="2"/>
  <c r="F18" i="2"/>
  <c r="G18" i="2"/>
  <c r="B19" i="2"/>
  <c r="C19" i="2"/>
  <c r="D19" i="2"/>
  <c r="E19" i="2"/>
  <c r="F19" i="2"/>
  <c r="G19" i="2"/>
  <c r="B20" i="2"/>
  <c r="C20" i="2"/>
  <c r="D20" i="2"/>
  <c r="E20" i="2"/>
  <c r="F20" i="2"/>
  <c r="G20" i="2"/>
  <c r="B21" i="2"/>
  <c r="C21" i="2"/>
  <c r="D21" i="2"/>
  <c r="E21" i="2"/>
  <c r="F21" i="2"/>
  <c r="G21" i="2"/>
  <c r="B22" i="2"/>
  <c r="C22" i="2"/>
  <c r="D22" i="2"/>
  <c r="E22" i="2"/>
  <c r="F22" i="2"/>
  <c r="G22" i="2"/>
  <c r="B23" i="2"/>
  <c r="C23" i="2"/>
  <c r="D23" i="2"/>
  <c r="E23" i="2"/>
  <c r="F23" i="2"/>
  <c r="G23" i="2"/>
  <c r="B24" i="2"/>
  <c r="C24" i="2"/>
  <c r="D24" i="2"/>
  <c r="E24" i="2"/>
  <c r="F24" i="2"/>
  <c r="G24" i="2"/>
  <c r="B25" i="2"/>
  <c r="C25" i="2"/>
  <c r="D25" i="2"/>
  <c r="E25" i="2"/>
  <c r="F25" i="2"/>
  <c r="G25" i="2"/>
  <c r="B26" i="2"/>
  <c r="C26" i="2"/>
  <c r="D26" i="2"/>
  <c r="E26" i="2"/>
  <c r="F26" i="2"/>
  <c r="G26" i="2"/>
  <c r="B27" i="2"/>
  <c r="C27" i="2"/>
  <c r="D27" i="2"/>
  <c r="E27" i="2"/>
  <c r="F27" i="2"/>
  <c r="G27" i="2"/>
  <c r="B28" i="2"/>
  <c r="C28" i="2"/>
  <c r="D28" i="2"/>
  <c r="E28" i="2"/>
  <c r="F28" i="2"/>
  <c r="G28" i="2"/>
  <c r="B29" i="2"/>
  <c r="C29" i="2"/>
  <c r="D29" i="2"/>
  <c r="E29" i="2"/>
  <c r="F29" i="2"/>
  <c r="G29" i="2"/>
  <c r="B30" i="2"/>
  <c r="C30" i="2"/>
  <c r="D30" i="2"/>
  <c r="E30" i="2"/>
  <c r="F30" i="2"/>
  <c r="G30" i="2"/>
  <c r="B31" i="2"/>
  <c r="C31" i="2"/>
  <c r="D31" i="2"/>
  <c r="E31" i="2"/>
  <c r="F31" i="2"/>
  <c r="G31" i="2"/>
  <c r="B32" i="2"/>
  <c r="C32" i="2"/>
  <c r="D32" i="2"/>
  <c r="E32" i="2"/>
  <c r="F32" i="2"/>
  <c r="G32" i="2"/>
  <c r="B33" i="2"/>
  <c r="C33" i="2"/>
  <c r="D33" i="2"/>
  <c r="E33" i="2"/>
  <c r="F33" i="2"/>
  <c r="G33" i="2"/>
  <c r="B34" i="2"/>
  <c r="C34" i="2"/>
  <c r="D34" i="2"/>
  <c r="E34" i="2"/>
  <c r="F34" i="2"/>
  <c r="G34" i="2"/>
  <c r="B35" i="2"/>
  <c r="C35" i="2"/>
  <c r="D35" i="2"/>
  <c r="E35" i="2"/>
  <c r="F35" i="2"/>
  <c r="G35" i="2"/>
  <c r="B36" i="2"/>
  <c r="C36" i="2"/>
  <c r="D36" i="2"/>
  <c r="E36" i="2"/>
  <c r="F36" i="2"/>
  <c r="G36" i="2"/>
  <c r="B37" i="2"/>
  <c r="C37" i="2"/>
  <c r="D37" i="2"/>
  <c r="E37" i="2"/>
  <c r="F37" i="2"/>
  <c r="G37" i="2"/>
  <c r="B38" i="2"/>
  <c r="C38" i="2"/>
  <c r="D38" i="2"/>
  <c r="E38" i="2"/>
  <c r="F38" i="2"/>
  <c r="G38" i="2"/>
  <c r="B39" i="2"/>
  <c r="C39" i="2"/>
  <c r="D39" i="2"/>
  <c r="E39" i="2"/>
  <c r="F39" i="2"/>
  <c r="G39" i="2"/>
  <c r="B40" i="2"/>
  <c r="C40" i="2"/>
  <c r="D40" i="2"/>
  <c r="E40" i="2"/>
  <c r="F40" i="2"/>
  <c r="G40" i="2"/>
  <c r="B41" i="2"/>
  <c r="C41" i="2"/>
  <c r="D41" i="2"/>
  <c r="E41" i="2"/>
  <c r="F41" i="2"/>
  <c r="G41" i="2"/>
  <c r="B42" i="2"/>
  <c r="C42" i="2"/>
  <c r="D42" i="2"/>
  <c r="E42" i="2"/>
  <c r="F42" i="2"/>
  <c r="G42" i="2"/>
  <c r="B43" i="2"/>
  <c r="C43" i="2"/>
  <c r="D43" i="2"/>
  <c r="E43" i="2"/>
  <c r="F43" i="2"/>
  <c r="G43" i="2"/>
  <c r="B44" i="2"/>
  <c r="C44" i="2"/>
  <c r="D44" i="2"/>
  <c r="E44" i="2"/>
  <c r="F44" i="2"/>
  <c r="G44" i="2"/>
  <c r="B45" i="2"/>
  <c r="C45" i="2"/>
  <c r="D45" i="2"/>
  <c r="E45" i="2"/>
  <c r="F45" i="2"/>
  <c r="G45" i="2"/>
  <c r="B46" i="2"/>
  <c r="C46" i="2"/>
  <c r="D46" i="2"/>
  <c r="E46" i="2"/>
  <c r="F46" i="2"/>
  <c r="G46" i="2"/>
  <c r="B47" i="2"/>
  <c r="C47" i="2"/>
  <c r="D47" i="2"/>
  <c r="E47" i="2"/>
  <c r="F47" i="2"/>
  <c r="G47" i="2"/>
  <c r="B48" i="2"/>
  <c r="C48" i="2"/>
  <c r="D48" i="2"/>
  <c r="E48" i="2"/>
  <c r="F48" i="2"/>
  <c r="G48" i="2"/>
  <c r="B49" i="2"/>
  <c r="C49" i="2"/>
  <c r="D49" i="2"/>
  <c r="E49" i="2"/>
  <c r="F49" i="2"/>
  <c r="G49" i="2"/>
  <c r="B50" i="2"/>
  <c r="C50" i="2"/>
  <c r="D50" i="2"/>
  <c r="E50" i="2"/>
  <c r="F50" i="2"/>
  <c r="G50" i="2"/>
  <c r="B51" i="2"/>
  <c r="C51" i="2"/>
  <c r="D51" i="2"/>
  <c r="E51" i="2"/>
  <c r="F51" i="2"/>
  <c r="G51" i="2"/>
  <c r="B52" i="2"/>
  <c r="C52" i="2"/>
  <c r="D52" i="2"/>
  <c r="E52" i="2"/>
  <c r="F52" i="2"/>
  <c r="G52" i="2"/>
  <c r="B53" i="2"/>
  <c r="C53" i="2"/>
  <c r="D53" i="2"/>
  <c r="E53" i="2"/>
  <c r="F53" i="2"/>
  <c r="G53" i="2"/>
  <c r="B54" i="2"/>
  <c r="C54" i="2"/>
  <c r="D54" i="2"/>
  <c r="E54" i="2"/>
  <c r="F54" i="2"/>
  <c r="G54" i="2"/>
  <c r="B55" i="2"/>
  <c r="C55" i="2"/>
  <c r="D55" i="2"/>
  <c r="E55" i="2"/>
  <c r="F55" i="2"/>
  <c r="G55" i="2"/>
  <c r="B56" i="2"/>
  <c r="C56" i="2"/>
  <c r="D56" i="2"/>
  <c r="E56" i="2"/>
  <c r="F56" i="2"/>
  <c r="G56" i="2"/>
  <c r="B57" i="2"/>
  <c r="C57" i="2"/>
  <c r="D57" i="2"/>
  <c r="E57" i="2"/>
  <c r="F57" i="2"/>
  <c r="G57" i="2"/>
  <c r="B58" i="2"/>
  <c r="C58" i="2"/>
  <c r="D58" i="2"/>
  <c r="E58" i="2"/>
  <c r="F58" i="2"/>
  <c r="G58" i="2"/>
  <c r="B59" i="2"/>
  <c r="C59" i="2"/>
  <c r="D59" i="2"/>
  <c r="E59" i="2"/>
  <c r="F59" i="2"/>
  <c r="G59" i="2"/>
  <c r="B60" i="2"/>
  <c r="C60" i="2"/>
  <c r="D60" i="2"/>
  <c r="E60" i="2"/>
  <c r="F60" i="2"/>
  <c r="G60" i="2"/>
  <c r="B61" i="2"/>
  <c r="C61" i="2"/>
  <c r="D61" i="2"/>
  <c r="E61" i="2"/>
  <c r="F61" i="2"/>
  <c r="G61" i="2"/>
  <c r="B62" i="2"/>
  <c r="C62" i="2"/>
  <c r="D62" i="2"/>
  <c r="E62" i="2"/>
  <c r="F62" i="2"/>
  <c r="G62" i="2"/>
  <c r="B63" i="2"/>
  <c r="C63" i="2"/>
  <c r="D63" i="2"/>
  <c r="E63" i="2"/>
  <c r="F63" i="2"/>
  <c r="G63" i="2"/>
  <c r="B64" i="2"/>
  <c r="C64" i="2"/>
  <c r="D64" i="2"/>
  <c r="E64" i="2"/>
  <c r="F64" i="2"/>
  <c r="G64" i="2"/>
  <c r="B65" i="2"/>
  <c r="C65" i="2"/>
  <c r="D65" i="2"/>
  <c r="E65" i="2"/>
  <c r="F65" i="2"/>
  <c r="G65" i="2"/>
  <c r="B66" i="2"/>
  <c r="C66" i="2"/>
  <c r="D66" i="2"/>
  <c r="E66" i="2"/>
  <c r="F66" i="2"/>
  <c r="G66" i="2"/>
  <c r="B67" i="2"/>
  <c r="C67" i="2"/>
  <c r="D67" i="2"/>
  <c r="E67" i="2"/>
  <c r="F67" i="2"/>
  <c r="G67" i="2"/>
  <c r="B68" i="2"/>
  <c r="C68" i="2"/>
  <c r="D68" i="2"/>
  <c r="E68" i="2"/>
  <c r="F68" i="2"/>
  <c r="G68" i="2"/>
  <c r="B69" i="2"/>
  <c r="C69" i="2"/>
  <c r="D69" i="2"/>
  <c r="E69" i="2"/>
  <c r="F69" i="2"/>
  <c r="G69" i="2"/>
  <c r="B70" i="2"/>
  <c r="C70" i="2"/>
  <c r="D70" i="2"/>
  <c r="E70" i="2"/>
  <c r="F70" i="2"/>
  <c r="G70" i="2"/>
  <c r="B71" i="2"/>
  <c r="C71" i="2"/>
  <c r="D71" i="2"/>
  <c r="E71" i="2"/>
  <c r="F71" i="2"/>
  <c r="G71" i="2"/>
  <c r="B72" i="2"/>
  <c r="C72" i="2"/>
  <c r="D72" i="2"/>
  <c r="E72" i="2"/>
  <c r="F72" i="2"/>
  <c r="G72" i="2"/>
  <c r="B73" i="2"/>
  <c r="C73" i="2"/>
  <c r="D73" i="2"/>
  <c r="E73" i="2"/>
  <c r="F73" i="2"/>
  <c r="G73" i="2"/>
  <c r="B74" i="2"/>
  <c r="C74" i="2"/>
  <c r="D74" i="2"/>
  <c r="E74" i="2"/>
  <c r="F74" i="2"/>
  <c r="G74" i="2"/>
  <c r="B75" i="2"/>
  <c r="C75" i="2"/>
  <c r="D75" i="2"/>
  <c r="E75" i="2"/>
  <c r="F75" i="2"/>
  <c r="G75" i="2"/>
  <c r="B76" i="2"/>
  <c r="C76" i="2"/>
  <c r="D76" i="2"/>
  <c r="E76" i="2"/>
  <c r="F76" i="2"/>
  <c r="G76" i="2"/>
  <c r="B77" i="2"/>
  <c r="C77" i="2"/>
  <c r="D77" i="2"/>
  <c r="E77" i="2"/>
  <c r="F77" i="2"/>
  <c r="G77" i="2"/>
  <c r="B78" i="2"/>
  <c r="C78" i="2"/>
  <c r="D78" i="2"/>
  <c r="E78" i="2"/>
  <c r="F78" i="2"/>
  <c r="G78" i="2"/>
  <c r="B79" i="2"/>
  <c r="C79" i="2"/>
  <c r="D79" i="2"/>
  <c r="E79" i="2"/>
  <c r="F79" i="2"/>
  <c r="G79" i="2"/>
  <c r="B80" i="2"/>
  <c r="C80" i="2"/>
  <c r="D80" i="2"/>
  <c r="E80" i="2"/>
  <c r="F80" i="2"/>
  <c r="G80" i="2"/>
  <c r="B81" i="2"/>
  <c r="C81" i="2"/>
  <c r="D81" i="2"/>
  <c r="E81" i="2"/>
  <c r="F81" i="2"/>
  <c r="G81" i="2"/>
  <c r="B82" i="2"/>
  <c r="C82" i="2"/>
  <c r="D82" i="2"/>
  <c r="E82" i="2"/>
  <c r="F82" i="2"/>
  <c r="G82" i="2"/>
  <c r="B83" i="2"/>
  <c r="C83" i="2"/>
  <c r="D83" i="2"/>
  <c r="E83" i="2"/>
  <c r="F83" i="2"/>
  <c r="G83" i="2"/>
  <c r="B84" i="2"/>
  <c r="C84" i="2"/>
  <c r="D84" i="2"/>
  <c r="E84" i="2"/>
  <c r="F84" i="2"/>
  <c r="G84" i="2"/>
  <c r="B85" i="2"/>
  <c r="C85" i="2"/>
  <c r="D85" i="2"/>
  <c r="E85" i="2"/>
  <c r="F85" i="2"/>
  <c r="G85" i="2"/>
  <c r="B86" i="2"/>
  <c r="C86" i="2"/>
  <c r="D86" i="2"/>
  <c r="E86" i="2"/>
  <c r="F86" i="2"/>
  <c r="G86" i="2"/>
  <c r="B87" i="2"/>
  <c r="C87" i="2"/>
  <c r="D87" i="2"/>
  <c r="E87" i="2"/>
  <c r="F87" i="2"/>
  <c r="G87" i="2"/>
  <c r="B88" i="2"/>
  <c r="C88" i="2"/>
  <c r="D88" i="2"/>
  <c r="E88" i="2"/>
  <c r="F88" i="2"/>
  <c r="G88" i="2"/>
  <c r="B89" i="2"/>
  <c r="C89" i="2"/>
  <c r="D89" i="2"/>
  <c r="E89" i="2"/>
  <c r="F89" i="2"/>
  <c r="G89" i="2"/>
  <c r="B90" i="2"/>
  <c r="C90" i="2"/>
  <c r="D90" i="2"/>
  <c r="E90" i="2"/>
  <c r="F90" i="2"/>
  <c r="G90" i="2"/>
  <c r="B91" i="2"/>
  <c r="C91" i="2"/>
  <c r="D91" i="2"/>
  <c r="E91" i="2"/>
  <c r="F91" i="2"/>
  <c r="G91" i="2"/>
  <c r="B92" i="2"/>
  <c r="C92" i="2"/>
  <c r="D92" i="2"/>
  <c r="E92" i="2"/>
  <c r="F92" i="2"/>
  <c r="G92" i="2"/>
  <c r="B93" i="2"/>
  <c r="C93" i="2"/>
  <c r="D93" i="2"/>
  <c r="E93" i="2"/>
  <c r="F93" i="2"/>
  <c r="G93" i="2"/>
  <c r="B94" i="2"/>
  <c r="C94" i="2"/>
  <c r="D94" i="2"/>
  <c r="E94" i="2"/>
  <c r="F94" i="2"/>
  <c r="G94" i="2"/>
  <c r="B95" i="2"/>
  <c r="C95" i="2"/>
  <c r="D95" i="2"/>
  <c r="E95" i="2"/>
  <c r="F95" i="2"/>
  <c r="G95" i="2"/>
  <c r="B96" i="2"/>
  <c r="C96" i="2"/>
  <c r="D96" i="2"/>
  <c r="E96" i="2"/>
  <c r="F96" i="2"/>
  <c r="G96" i="2"/>
  <c r="B97" i="2"/>
  <c r="C97" i="2"/>
  <c r="D97" i="2"/>
  <c r="E97" i="2"/>
  <c r="F97" i="2"/>
  <c r="G97" i="2"/>
  <c r="B98" i="2"/>
  <c r="C98" i="2"/>
  <c r="D98" i="2"/>
  <c r="E98" i="2"/>
  <c r="F98" i="2"/>
  <c r="G98" i="2"/>
  <c r="B99" i="2"/>
  <c r="C99" i="2"/>
  <c r="D99" i="2"/>
  <c r="E99" i="2"/>
  <c r="F99" i="2"/>
  <c r="G99" i="2"/>
  <c r="B100" i="2"/>
  <c r="C100" i="2"/>
  <c r="D100" i="2"/>
  <c r="E100" i="2"/>
  <c r="F100" i="2"/>
  <c r="G100" i="2"/>
  <c r="B101" i="2"/>
  <c r="C101" i="2"/>
  <c r="D101" i="2"/>
  <c r="E101" i="2"/>
  <c r="F101" i="2"/>
  <c r="G101" i="2"/>
  <c r="B102" i="2"/>
  <c r="C102" i="2"/>
  <c r="D102" i="2"/>
  <c r="E102" i="2"/>
  <c r="F102" i="2"/>
  <c r="G102" i="2"/>
  <c r="B103" i="2"/>
  <c r="C103" i="2"/>
  <c r="D103" i="2"/>
  <c r="E103" i="2"/>
  <c r="F103" i="2"/>
  <c r="G103" i="2"/>
  <c r="B104" i="2"/>
  <c r="C104" i="2"/>
  <c r="D104" i="2"/>
  <c r="E104" i="2"/>
  <c r="F104" i="2"/>
  <c r="G104" i="2"/>
  <c r="B105" i="2"/>
  <c r="C105" i="2"/>
  <c r="D105" i="2"/>
  <c r="E105" i="2"/>
  <c r="F105" i="2"/>
  <c r="G105" i="2"/>
  <c r="B106" i="2"/>
  <c r="C106" i="2"/>
  <c r="D106" i="2"/>
  <c r="E106" i="2"/>
  <c r="F106" i="2"/>
  <c r="G106" i="2"/>
  <c r="B107" i="2"/>
  <c r="C107" i="2"/>
  <c r="D107" i="2"/>
  <c r="E107" i="2"/>
  <c r="F107" i="2"/>
  <c r="G107" i="2"/>
  <c r="B108" i="2"/>
  <c r="C108" i="2"/>
  <c r="D108" i="2"/>
  <c r="E108" i="2"/>
  <c r="F108" i="2"/>
  <c r="G108" i="2"/>
  <c r="B109" i="2"/>
  <c r="C109" i="2"/>
  <c r="D109" i="2"/>
  <c r="E109" i="2"/>
  <c r="F109" i="2"/>
  <c r="G109" i="2"/>
  <c r="B110" i="2"/>
  <c r="C110" i="2"/>
  <c r="D110" i="2"/>
  <c r="E110" i="2"/>
  <c r="F110" i="2"/>
  <c r="G110" i="2"/>
  <c r="B111" i="2"/>
  <c r="C111" i="2"/>
  <c r="D111" i="2"/>
  <c r="E111" i="2"/>
  <c r="F111" i="2"/>
  <c r="G111" i="2"/>
  <c r="B112" i="2"/>
  <c r="C112" i="2"/>
  <c r="D112" i="2"/>
  <c r="E112" i="2"/>
  <c r="F112" i="2"/>
  <c r="G112" i="2"/>
  <c r="B113" i="2"/>
  <c r="C113" i="2"/>
  <c r="D113" i="2"/>
  <c r="E113" i="2"/>
  <c r="F113" i="2"/>
  <c r="G113" i="2"/>
  <c r="B114" i="2"/>
  <c r="C114" i="2"/>
  <c r="D114" i="2"/>
  <c r="E114" i="2"/>
  <c r="F114" i="2"/>
  <c r="G114" i="2"/>
  <c r="B115" i="2"/>
  <c r="C115" i="2"/>
  <c r="D115" i="2"/>
  <c r="E115" i="2"/>
  <c r="F115" i="2"/>
  <c r="G115" i="2"/>
  <c r="B116" i="2"/>
  <c r="C116" i="2"/>
  <c r="D116" i="2"/>
  <c r="E116" i="2"/>
  <c r="F116" i="2"/>
  <c r="G116" i="2"/>
  <c r="B117" i="2"/>
  <c r="C117" i="2"/>
  <c r="D117" i="2"/>
  <c r="E117" i="2"/>
  <c r="F117" i="2"/>
  <c r="G117" i="2"/>
  <c r="B118" i="2"/>
  <c r="C118" i="2"/>
  <c r="D118" i="2"/>
  <c r="E118" i="2"/>
  <c r="F118" i="2"/>
  <c r="G118" i="2"/>
  <c r="B119" i="2"/>
  <c r="C119" i="2"/>
  <c r="D119" i="2"/>
  <c r="E119" i="2"/>
  <c r="F119" i="2"/>
  <c r="G119" i="2"/>
  <c r="B120" i="2"/>
  <c r="C120" i="2"/>
  <c r="D120" i="2"/>
  <c r="E120" i="2"/>
  <c r="F120" i="2"/>
  <c r="G120" i="2"/>
  <c r="B121" i="2"/>
  <c r="C121" i="2"/>
  <c r="D121" i="2"/>
  <c r="E121" i="2"/>
  <c r="F121" i="2"/>
  <c r="G121" i="2"/>
  <c r="B122" i="2"/>
  <c r="C122" i="2"/>
  <c r="D122" i="2"/>
  <c r="E122" i="2"/>
  <c r="F122" i="2"/>
  <c r="G122" i="2"/>
  <c r="B123" i="2"/>
  <c r="C123" i="2"/>
  <c r="D123" i="2"/>
  <c r="E123" i="2"/>
  <c r="F123" i="2"/>
  <c r="G123" i="2"/>
  <c r="B124" i="2"/>
  <c r="C124" i="2"/>
  <c r="D124" i="2"/>
  <c r="E124" i="2"/>
  <c r="F124" i="2"/>
  <c r="G124" i="2"/>
  <c r="B125" i="2"/>
  <c r="C125" i="2"/>
  <c r="D125" i="2"/>
  <c r="E125" i="2"/>
  <c r="F125" i="2"/>
  <c r="G125" i="2"/>
  <c r="B126" i="2"/>
  <c r="C126" i="2"/>
  <c r="D126" i="2"/>
  <c r="E126" i="2"/>
  <c r="F126" i="2"/>
  <c r="G126" i="2"/>
  <c r="B127" i="2"/>
  <c r="C127" i="2"/>
  <c r="D127" i="2"/>
  <c r="E127" i="2"/>
  <c r="F127" i="2"/>
  <c r="G127" i="2"/>
  <c r="B128" i="2"/>
  <c r="C128" i="2"/>
  <c r="D128" i="2"/>
  <c r="E128" i="2"/>
  <c r="F128" i="2"/>
  <c r="G128" i="2"/>
  <c r="B129" i="2"/>
  <c r="C129" i="2"/>
  <c r="D129" i="2"/>
  <c r="E129" i="2"/>
  <c r="F129" i="2"/>
  <c r="G129" i="2"/>
  <c r="B130" i="2"/>
  <c r="C130" i="2"/>
  <c r="D130" i="2"/>
  <c r="E130" i="2"/>
  <c r="F130" i="2"/>
  <c r="G130" i="2"/>
  <c r="B131" i="2"/>
  <c r="C131" i="2"/>
  <c r="D131" i="2"/>
  <c r="E131" i="2"/>
  <c r="F131" i="2"/>
  <c r="G131" i="2"/>
  <c r="B132" i="2"/>
  <c r="C132" i="2"/>
  <c r="D132" i="2"/>
  <c r="E132" i="2"/>
  <c r="F132" i="2"/>
  <c r="G132" i="2"/>
  <c r="B133" i="2"/>
  <c r="C133" i="2"/>
  <c r="D133" i="2"/>
  <c r="E133" i="2"/>
  <c r="F133" i="2"/>
  <c r="G133" i="2"/>
  <c r="B134" i="2"/>
  <c r="C134" i="2"/>
  <c r="D134" i="2"/>
  <c r="E134" i="2"/>
  <c r="F134" i="2"/>
  <c r="G134" i="2"/>
  <c r="B135" i="2"/>
  <c r="C135" i="2"/>
  <c r="D135" i="2"/>
  <c r="E135" i="2"/>
  <c r="F135" i="2"/>
  <c r="G135" i="2"/>
  <c r="B136" i="2"/>
  <c r="C136" i="2"/>
  <c r="D136" i="2"/>
  <c r="E136" i="2"/>
  <c r="F136" i="2"/>
  <c r="G136" i="2"/>
  <c r="B137" i="2"/>
  <c r="C137" i="2"/>
  <c r="D137" i="2"/>
  <c r="E137" i="2"/>
  <c r="F137" i="2"/>
  <c r="G137" i="2"/>
  <c r="B138" i="2"/>
  <c r="C138" i="2"/>
  <c r="D138" i="2"/>
  <c r="E138" i="2"/>
  <c r="F138" i="2"/>
  <c r="G138" i="2"/>
  <c r="B139" i="2"/>
  <c r="C139" i="2"/>
  <c r="D139" i="2"/>
  <c r="E139" i="2"/>
  <c r="F139" i="2"/>
  <c r="G139" i="2"/>
  <c r="B140" i="2"/>
  <c r="C140" i="2"/>
  <c r="D140" i="2"/>
  <c r="E140" i="2"/>
  <c r="F140" i="2"/>
  <c r="G140" i="2"/>
  <c r="B141" i="2"/>
  <c r="C141" i="2"/>
  <c r="D141" i="2"/>
  <c r="E141" i="2"/>
  <c r="F141" i="2"/>
  <c r="G141" i="2"/>
  <c r="B142" i="2"/>
  <c r="C142" i="2"/>
  <c r="D142" i="2"/>
  <c r="E142" i="2"/>
  <c r="F142" i="2"/>
  <c r="G142" i="2"/>
  <c r="B143" i="2"/>
  <c r="C143" i="2"/>
  <c r="D143" i="2"/>
  <c r="E143" i="2"/>
  <c r="F143" i="2"/>
  <c r="G143" i="2"/>
  <c r="B144" i="2"/>
  <c r="C144" i="2"/>
  <c r="D144" i="2"/>
  <c r="E144" i="2"/>
  <c r="F144" i="2"/>
  <c r="G144" i="2"/>
  <c r="B145" i="2"/>
  <c r="C145" i="2"/>
  <c r="D145" i="2"/>
  <c r="E145" i="2"/>
  <c r="F145" i="2"/>
  <c r="G145" i="2"/>
  <c r="B146" i="2"/>
  <c r="C146" i="2"/>
  <c r="D146" i="2"/>
  <c r="E146" i="2"/>
  <c r="F146" i="2"/>
  <c r="G146" i="2"/>
  <c r="B147" i="2"/>
  <c r="C147" i="2"/>
  <c r="D147" i="2"/>
  <c r="E147" i="2"/>
  <c r="F147" i="2"/>
  <c r="G147" i="2"/>
  <c r="B148" i="2"/>
  <c r="C148" i="2"/>
  <c r="D148" i="2"/>
  <c r="E148" i="2"/>
  <c r="F148" i="2"/>
  <c r="G148" i="2"/>
  <c r="B149" i="2"/>
  <c r="C149" i="2"/>
  <c r="D149" i="2"/>
  <c r="E149" i="2"/>
  <c r="F149" i="2"/>
  <c r="G149" i="2"/>
  <c r="B150" i="2"/>
  <c r="C150" i="2"/>
  <c r="D150" i="2"/>
  <c r="E150" i="2"/>
  <c r="F150" i="2"/>
  <c r="G150" i="2"/>
  <c r="B151" i="2"/>
  <c r="C151" i="2"/>
  <c r="D151" i="2"/>
  <c r="E151" i="2"/>
  <c r="F151" i="2"/>
  <c r="G151" i="2"/>
  <c r="B152" i="2"/>
  <c r="C152" i="2"/>
  <c r="D152" i="2"/>
  <c r="E152" i="2"/>
  <c r="F152" i="2"/>
  <c r="G152" i="2"/>
  <c r="B153" i="2"/>
  <c r="C153" i="2"/>
  <c r="D153" i="2"/>
  <c r="E153" i="2"/>
  <c r="F153" i="2"/>
  <c r="G153" i="2"/>
  <c r="B154" i="2"/>
  <c r="C154" i="2"/>
  <c r="D154" i="2"/>
  <c r="E154" i="2"/>
  <c r="F154" i="2"/>
  <c r="G154" i="2"/>
  <c r="B155" i="2"/>
  <c r="C155" i="2"/>
  <c r="D155" i="2"/>
  <c r="E155" i="2"/>
  <c r="F155" i="2"/>
  <c r="G155" i="2"/>
  <c r="B156" i="2"/>
  <c r="C156" i="2"/>
  <c r="D156" i="2"/>
  <c r="E156" i="2"/>
  <c r="F156" i="2"/>
  <c r="G156" i="2"/>
  <c r="B157" i="2"/>
  <c r="C157" i="2"/>
  <c r="D157" i="2"/>
  <c r="E157" i="2"/>
  <c r="F157" i="2"/>
  <c r="G157" i="2"/>
  <c r="B158" i="2"/>
  <c r="C158" i="2"/>
  <c r="D158" i="2"/>
  <c r="E158" i="2"/>
  <c r="F158" i="2"/>
  <c r="G158" i="2"/>
  <c r="B159" i="2"/>
  <c r="C159" i="2"/>
  <c r="D159" i="2"/>
  <c r="E159" i="2"/>
  <c r="F159" i="2"/>
  <c r="G159" i="2"/>
  <c r="B160" i="2"/>
  <c r="C160" i="2"/>
  <c r="D160" i="2"/>
  <c r="E160" i="2"/>
  <c r="F160" i="2"/>
  <c r="G160" i="2"/>
  <c r="B161" i="2"/>
  <c r="C161" i="2"/>
  <c r="D161" i="2"/>
  <c r="E161" i="2"/>
  <c r="F161" i="2"/>
  <c r="G161" i="2"/>
  <c r="B162" i="2"/>
  <c r="C162" i="2"/>
  <c r="D162" i="2"/>
  <c r="E162" i="2"/>
  <c r="F162" i="2"/>
  <c r="G162" i="2"/>
  <c r="B163" i="2"/>
  <c r="C163" i="2"/>
  <c r="D163" i="2"/>
  <c r="E163" i="2"/>
  <c r="F163" i="2"/>
  <c r="G163" i="2"/>
  <c r="B164" i="2"/>
  <c r="C164" i="2"/>
  <c r="D164" i="2"/>
  <c r="E164" i="2"/>
  <c r="F164" i="2"/>
  <c r="G164" i="2"/>
  <c r="B165" i="2"/>
  <c r="C165" i="2"/>
  <c r="D165" i="2"/>
  <c r="E165" i="2"/>
  <c r="F165" i="2"/>
  <c r="G165" i="2"/>
  <c r="B166" i="2"/>
  <c r="C166" i="2"/>
  <c r="D166" i="2"/>
  <c r="E166" i="2"/>
  <c r="F166" i="2"/>
  <c r="G166" i="2"/>
  <c r="B167" i="2"/>
  <c r="C167" i="2"/>
  <c r="D167" i="2"/>
  <c r="E167" i="2"/>
  <c r="F167" i="2"/>
  <c r="G167" i="2"/>
  <c r="B168" i="2"/>
  <c r="C168" i="2"/>
  <c r="D168" i="2"/>
  <c r="E168" i="2"/>
  <c r="F168" i="2"/>
  <c r="G168" i="2"/>
  <c r="B169" i="2"/>
  <c r="C169" i="2"/>
  <c r="D169" i="2"/>
  <c r="E169" i="2"/>
  <c r="F169" i="2"/>
  <c r="G169" i="2"/>
  <c r="B170" i="2"/>
  <c r="C170" i="2"/>
  <c r="D170" i="2"/>
  <c r="E170" i="2"/>
  <c r="F170" i="2"/>
  <c r="G170" i="2"/>
  <c r="B171" i="2"/>
  <c r="C171" i="2"/>
  <c r="D171" i="2"/>
  <c r="E171" i="2"/>
  <c r="F171" i="2"/>
  <c r="G171" i="2"/>
  <c r="B172" i="2"/>
  <c r="C172" i="2"/>
  <c r="D172" i="2"/>
  <c r="E172" i="2"/>
  <c r="F172" i="2"/>
  <c r="G172" i="2"/>
  <c r="B173" i="2"/>
  <c r="C173" i="2"/>
  <c r="D173" i="2"/>
  <c r="E173" i="2"/>
  <c r="F173" i="2"/>
  <c r="G173" i="2"/>
  <c r="B174" i="2"/>
  <c r="C174" i="2"/>
  <c r="D174" i="2"/>
  <c r="E174" i="2"/>
  <c r="F174" i="2"/>
  <c r="G174" i="2"/>
  <c r="B175" i="2"/>
  <c r="C175" i="2"/>
  <c r="D175" i="2"/>
  <c r="E175" i="2"/>
  <c r="F175" i="2"/>
  <c r="G175" i="2"/>
  <c r="B176" i="2"/>
  <c r="C176" i="2"/>
  <c r="D176" i="2"/>
  <c r="E176" i="2"/>
  <c r="F176" i="2"/>
  <c r="G176" i="2"/>
  <c r="B177" i="2"/>
  <c r="C177" i="2"/>
  <c r="D177" i="2"/>
  <c r="E177" i="2"/>
  <c r="F177" i="2"/>
  <c r="G177" i="2"/>
  <c r="B178" i="2"/>
  <c r="C178" i="2"/>
  <c r="D178" i="2"/>
  <c r="E178" i="2"/>
  <c r="F178" i="2"/>
  <c r="G178" i="2"/>
  <c r="B179" i="2"/>
  <c r="C179" i="2"/>
  <c r="D179" i="2"/>
  <c r="E179" i="2"/>
  <c r="F179" i="2"/>
  <c r="G179" i="2"/>
  <c r="B180" i="2"/>
  <c r="C180" i="2"/>
  <c r="D180" i="2"/>
  <c r="E180" i="2"/>
  <c r="F180" i="2"/>
  <c r="G180" i="2"/>
  <c r="B181" i="2"/>
  <c r="C181" i="2"/>
  <c r="D181" i="2"/>
  <c r="E181" i="2"/>
  <c r="F181" i="2"/>
  <c r="G181" i="2"/>
  <c r="B182" i="2"/>
  <c r="C182" i="2"/>
  <c r="D182" i="2"/>
  <c r="E182" i="2"/>
  <c r="F182" i="2"/>
  <c r="G182" i="2"/>
  <c r="B183" i="2"/>
  <c r="C183" i="2"/>
  <c r="D183" i="2"/>
  <c r="E183" i="2"/>
  <c r="F183" i="2"/>
  <c r="G183" i="2"/>
  <c r="B184" i="2"/>
  <c r="C184" i="2"/>
  <c r="D184" i="2"/>
  <c r="E184" i="2"/>
  <c r="F184" i="2"/>
  <c r="G184" i="2"/>
  <c r="B185" i="2"/>
  <c r="C185" i="2"/>
  <c r="D185" i="2"/>
  <c r="E185" i="2"/>
  <c r="F185" i="2"/>
  <c r="G185" i="2"/>
  <c r="B186" i="2"/>
  <c r="C186" i="2"/>
  <c r="D186" i="2"/>
  <c r="E186" i="2"/>
  <c r="F186" i="2"/>
  <c r="G186" i="2"/>
  <c r="B187" i="2"/>
  <c r="C187" i="2"/>
  <c r="D187" i="2"/>
  <c r="E187" i="2"/>
  <c r="F187" i="2"/>
  <c r="G187" i="2"/>
  <c r="B188" i="2"/>
  <c r="C188" i="2"/>
  <c r="D188" i="2"/>
  <c r="E188" i="2"/>
  <c r="F188" i="2"/>
  <c r="G188" i="2"/>
  <c r="B189" i="2"/>
  <c r="C189" i="2"/>
  <c r="D189" i="2"/>
  <c r="E189" i="2"/>
  <c r="F189" i="2"/>
  <c r="G189" i="2"/>
  <c r="B190" i="2"/>
  <c r="C190" i="2"/>
  <c r="D190" i="2"/>
  <c r="E190" i="2"/>
  <c r="F190" i="2"/>
  <c r="G190" i="2"/>
  <c r="B191" i="2"/>
  <c r="C191" i="2"/>
  <c r="D191" i="2"/>
  <c r="E191" i="2"/>
  <c r="F191" i="2"/>
  <c r="G191" i="2"/>
  <c r="B192" i="2"/>
  <c r="C192" i="2"/>
  <c r="D192" i="2"/>
  <c r="E192" i="2"/>
  <c r="F192" i="2"/>
  <c r="G192" i="2"/>
  <c r="B193" i="2"/>
  <c r="C193" i="2"/>
  <c r="D193" i="2"/>
  <c r="E193" i="2"/>
  <c r="F193" i="2"/>
  <c r="G193" i="2"/>
  <c r="B194" i="2"/>
  <c r="C194" i="2"/>
  <c r="D194" i="2"/>
  <c r="E194" i="2"/>
  <c r="F194" i="2"/>
  <c r="G194" i="2"/>
  <c r="B195" i="2"/>
  <c r="C195" i="2"/>
  <c r="D195" i="2"/>
  <c r="E195" i="2"/>
  <c r="F195" i="2"/>
  <c r="G195" i="2"/>
  <c r="B196" i="2"/>
  <c r="C196" i="2"/>
  <c r="D196" i="2"/>
  <c r="E196" i="2"/>
  <c r="F196" i="2"/>
  <c r="G196" i="2"/>
  <c r="B197" i="2"/>
  <c r="C197" i="2"/>
  <c r="D197" i="2"/>
  <c r="E197" i="2"/>
  <c r="F197" i="2"/>
  <c r="G197" i="2"/>
  <c r="B198" i="2"/>
  <c r="C198" i="2"/>
  <c r="D198" i="2"/>
  <c r="E198" i="2"/>
  <c r="F198" i="2"/>
  <c r="G198" i="2"/>
  <c r="B199" i="2"/>
  <c r="C199" i="2"/>
  <c r="D199" i="2"/>
  <c r="E199" i="2"/>
  <c r="F199" i="2"/>
  <c r="G199" i="2"/>
  <c r="B200" i="2"/>
  <c r="C200" i="2"/>
  <c r="D200" i="2"/>
  <c r="E200" i="2"/>
  <c r="F200" i="2"/>
  <c r="G200" i="2"/>
  <c r="B201" i="2"/>
  <c r="C201" i="2"/>
  <c r="D201" i="2"/>
  <c r="E201" i="2"/>
  <c r="F201" i="2"/>
  <c r="G201" i="2"/>
  <c r="B202" i="2"/>
  <c r="C202" i="2"/>
  <c r="D202" i="2"/>
  <c r="E202" i="2"/>
  <c r="F202" i="2"/>
  <c r="G202" i="2"/>
  <c r="B203" i="2"/>
  <c r="C203" i="2"/>
  <c r="D203" i="2"/>
  <c r="E203" i="2"/>
  <c r="F203" i="2"/>
  <c r="G203" i="2"/>
  <c r="B204" i="2"/>
  <c r="C204" i="2"/>
  <c r="D204" i="2"/>
  <c r="E204" i="2"/>
  <c r="F204" i="2"/>
  <c r="G204" i="2"/>
  <c r="B205" i="2"/>
  <c r="C205" i="2"/>
  <c r="D205" i="2"/>
  <c r="E205" i="2"/>
  <c r="F205" i="2"/>
  <c r="G205" i="2"/>
  <c r="B206" i="2"/>
  <c r="C206" i="2"/>
  <c r="D206" i="2"/>
  <c r="E206" i="2"/>
  <c r="F206" i="2"/>
  <c r="G206" i="2"/>
  <c r="G7" i="2"/>
  <c r="O200" i="1"/>
  <c r="O20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 i="1"/>
  <c r="F7" i="2"/>
  <c r="E7" i="2"/>
  <c r="D7" i="2"/>
  <c r="C7" i="2"/>
  <c r="B7" i="2"/>
</calcChain>
</file>

<file path=xl/sharedStrings.xml><?xml version="1.0" encoding="utf-8"?>
<sst xmlns="http://schemas.openxmlformats.org/spreadsheetml/2006/main" count="3847" uniqueCount="281">
  <si>
    <t>Order ID</t>
  </si>
  <si>
    <t>Order Date</t>
  </si>
  <si>
    <t>Year</t>
  </si>
  <si>
    <t>Month</t>
  </si>
  <si>
    <t>Region</t>
  </si>
  <si>
    <t>Country</t>
  </si>
  <si>
    <t>Category</t>
  </si>
  <si>
    <t>Sub-Category</t>
  </si>
  <si>
    <t>Customer Segment</t>
  </si>
  <si>
    <t>Sales</t>
  </si>
  <si>
    <t>Quantity</t>
  </si>
  <si>
    <t>Discount</t>
  </si>
  <si>
    <t>Cost</t>
  </si>
  <si>
    <t>Profit</t>
  </si>
  <si>
    <t>ORD2000</t>
  </si>
  <si>
    <t>June</t>
  </si>
  <si>
    <t>North</t>
  </si>
  <si>
    <t>UK</t>
  </si>
  <si>
    <t>Furniture</t>
  </si>
  <si>
    <t>Storage</t>
  </si>
  <si>
    <t>Corporate</t>
  </si>
  <si>
    <t>ORD2001</t>
  </si>
  <si>
    <t>July</t>
  </si>
  <si>
    <t>East</t>
  </si>
  <si>
    <t>India</t>
  </si>
  <si>
    <t>Home Office</t>
  </si>
  <si>
    <t>ORD2002</t>
  </si>
  <si>
    <t>January</t>
  </si>
  <si>
    <t>Central</t>
  </si>
  <si>
    <t>Office Supplies</t>
  </si>
  <si>
    <t>Tables</t>
  </si>
  <si>
    <t>ORD2003</t>
  </si>
  <si>
    <t>March</t>
  </si>
  <si>
    <t>ORD2004</t>
  </si>
  <si>
    <t>Germany</t>
  </si>
  <si>
    <t>Technology</t>
  </si>
  <si>
    <t>ORD2005</t>
  </si>
  <si>
    <t>April</t>
  </si>
  <si>
    <t>Australia</t>
  </si>
  <si>
    <t>Chairs</t>
  </si>
  <si>
    <t>ORD2006</t>
  </si>
  <si>
    <t>December</t>
  </si>
  <si>
    <t>South</t>
  </si>
  <si>
    <t>USA</t>
  </si>
  <si>
    <t>ORD2007</t>
  </si>
  <si>
    <t>ORD2008</t>
  </si>
  <si>
    <t>ORD2009</t>
  </si>
  <si>
    <t>Binders</t>
  </si>
  <si>
    <t>ORD2010</t>
  </si>
  <si>
    <t>West</t>
  </si>
  <si>
    <t>ORD2011</t>
  </si>
  <si>
    <t>February</t>
  </si>
  <si>
    <t>Phones</t>
  </si>
  <si>
    <t>ORD2012</t>
  </si>
  <si>
    <t>August</t>
  </si>
  <si>
    <t>ORD2013</t>
  </si>
  <si>
    <t>Consumer</t>
  </si>
  <si>
    <t>ORD2014</t>
  </si>
  <si>
    <t>Laptops</t>
  </si>
  <si>
    <t>ORD2015</t>
  </si>
  <si>
    <t>ORD2016</t>
  </si>
  <si>
    <t>ORD2017</t>
  </si>
  <si>
    <t>November</t>
  </si>
  <si>
    <t>ORD2018</t>
  </si>
  <si>
    <t>September</t>
  </si>
  <si>
    <t>ORD2019</t>
  </si>
  <si>
    <t>ORD2020</t>
  </si>
  <si>
    <t>October</t>
  </si>
  <si>
    <t>ORD2021</t>
  </si>
  <si>
    <t>ORD2022</t>
  </si>
  <si>
    <t>ORD2023</t>
  </si>
  <si>
    <t>ORD2024</t>
  </si>
  <si>
    <t>ORD2025</t>
  </si>
  <si>
    <t>ORD2026</t>
  </si>
  <si>
    <t>ORD2027</t>
  </si>
  <si>
    <t>ORD2028</t>
  </si>
  <si>
    <t>ORD2029</t>
  </si>
  <si>
    <t>ORD2030</t>
  </si>
  <si>
    <t>ORD2031</t>
  </si>
  <si>
    <t>ORD2032</t>
  </si>
  <si>
    <t>ORD2033</t>
  </si>
  <si>
    <t>ORD2034</t>
  </si>
  <si>
    <t>ORD2035</t>
  </si>
  <si>
    <t>May</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</si>
  <si>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</si>
  <si>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</si>
  <si>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</si>
  <si>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</si>
  <si>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</si>
  <si>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</si>
  <si>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</si>
  <si>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</si>
  <si>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</si>
  <si>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</si>
  <si>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</si>
  <si>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</si>
  <si>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</si>
  <si>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</si>
  <si>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</si>
  <si>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</si>
  <si>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</si>
  <si>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</si>
  <si>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</si>
  <si>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</si>
  <si>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</si>
  <si>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</si>
  <si>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</si>
  <si>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</si>
  <si>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</si>
  <si>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</si>
  <si>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</si>
  <si>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</si>
  <si>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</si>
  <si>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</si>
  <si>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</si>
  <si>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</si>
  <si>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</si>
  <si>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</si>
  <si>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</si>
  <si>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</si>
  <si>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</si>
  <si>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</si>
  <si>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</si>
  <si>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</si>
  <si>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</si>
  <si>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</si>
  <si>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</si>
  <si>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</si>
  <si>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</si>
  <si>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</si>
  <si>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</si>
  <si>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</si>
  <si>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</si>
  <si>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</si>
  <si>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</si>
  <si>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</si>
  <si>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</si>
  <si>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</si>
  <si>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</si>
  <si>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</si>
  <si>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</si>
  <si>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</si>
  <si>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</si>
  <si>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</si>
  <si>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</si>
  <si>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</si>
  <si>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</si>
  <si>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</si>
  <si>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</si>
  <si>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</si>
  <si>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</si>
  <si>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</si>
  <si>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</si>
  <si>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</si>
  <si>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</si>
  <si>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</si>
  <si>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</si>
  <si>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</si>
  <si>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</si>
  <si>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</si>
  <si>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</si>
  <si>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</si>
  <si>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</si>
  <si>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</si>
  <si>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</si>
  <si>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</si>
  <si>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</si>
  <si>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</si>
  <si>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</si>
  <si>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</si>
  <si>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</si>
  <si>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</si>
  <si>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</si>
  <si>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</si>
  <si>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</si>
  <si>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</si>
  <si>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</si>
  <si>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</si>
  <si>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</si>
  <si>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</si>
  <si>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</si>
  <si>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</si>
  <si>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</si>
  <si>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</si>
  <si>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</si>
  <si>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</si>
  <si>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</si>
  <si>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</si>
  <si>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</si>
  <si>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</si>
  <si>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</si>
  <si>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</si>
  <si>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</si>
  <si>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</si>
  <si>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</si>
  <si>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</si>
  <si>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</si>
  <si>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</si>
  <si>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</si>
  <si>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</si>
  <si>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</si>
  <si>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</si>
  <si>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</si>
  <si>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</si>
  <si>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</si>
  <si>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</si>
  <si>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</si>
  <si>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</si>
  <si>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</si>
  <si>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</si>
  <si>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</si>
  <si>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</si>
  <si>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</si>
  <si>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</si>
  <si>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</si>
  <si>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</si>
  <si>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</si>
  <si>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</si>
  <si>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</si>
  <si>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</si>
  <si>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</si>
  <si>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</si>
  <si>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</si>
  <si>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</si>
  <si>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</si>
  <si>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</si>
  <si>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</si>
  <si>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</si>
  <si>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</si>
  <si>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</si>
  <si>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</si>
  <si>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</si>
  <si>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</si>
  <si>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</si>
  <si>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</si>
  <si>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</si>
  <si>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</si>
  <si>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</si>
  <si>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</si>
  <si>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</si>
  <si>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</si>
  <si>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</si>
  <si>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</si>
  <si>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</si>
  <si>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</si>
  <si>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</si>
  <si>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</si>
  <si>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</si>
  <si>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Unit Price</t>
  </si>
  <si>
    <t>Total Sales</t>
  </si>
  <si>
    <t>Total Quantity</t>
  </si>
  <si>
    <t>Total Profit</t>
  </si>
  <si>
    <t>Total Unit Price</t>
  </si>
  <si>
    <t>CountA from A2 to A201</t>
  </si>
  <si>
    <t>Count from B2 to B201</t>
  </si>
  <si>
    <t>Count Blank from D2 to D201</t>
  </si>
  <si>
    <t>CountIF from E2 to E201</t>
  </si>
  <si>
    <t xml:space="preserve">CountIFS </t>
  </si>
  <si>
    <t>Row Labels</t>
  </si>
  <si>
    <t>Grand Total</t>
  </si>
  <si>
    <t>Sum of Sales</t>
  </si>
  <si>
    <t>Sum of Profit</t>
  </si>
  <si>
    <t>Sum of Unit Price</t>
  </si>
  <si>
    <t>Sum of Cost</t>
  </si>
  <si>
    <t xml:space="preserve">   Calculated total sales per individual Order ID utilizing the SUMIF function to aggregate transactional data.</t>
  </si>
  <si>
    <t>Calculated total sales by category using SUMIF.</t>
  </si>
  <si>
    <t>Calculated total profit by sub-category using SUMIF.</t>
  </si>
  <si>
    <t>Counted cells using COUNT, COUNTA, COUNTBLANK, COUNTIF, and COUNTIFS.</t>
  </si>
  <si>
    <t>Analyzed the cost for the South region in the UK and calculated profit for Home Office furniture (e.g., chairs).</t>
  </si>
  <si>
    <t>Calculated total quantity by customer segment (Corporate, Home Office, and Consumer) using SUMIF.</t>
  </si>
  <si>
    <t>Calculated month-wise total sales using SUMIF.</t>
  </si>
  <si>
    <t>Calculated total unit price by country using SUMIF.</t>
  </si>
  <si>
    <t>Calculated total sales, total quantity, and total profit using SUM.</t>
  </si>
  <si>
    <t>Calculated product-, region-, country-, month-, and segment-wise metrics such as laptop cost, regional profit, discounts, furniture profit, quantities, and unit price using SUMIFS.</t>
  </si>
  <si>
    <t>I used VLOOKUP to retrieve sales, region, country, quantity, profit, and unit price details for different Order IDs.</t>
  </si>
  <si>
    <t>I used HLOOKUP to retrieve sales, quantity, and profit for different Order IDs.</t>
  </si>
  <si>
    <t>Applied INDEX and MATCH functions for flexible and accurate data lookup across multiple datasets</t>
  </si>
  <si>
    <t>Sum of Quantity</t>
  </si>
  <si>
    <t>Applied Conditional Formatting using Top 10 and Bottom 10 rules to analyze profit and sales performance.</t>
  </si>
  <si>
    <t>Used Highlight Cells Rules to identify specific data, such as records where the country is India, category is Office Supplies, region is South, and month is February.</t>
  </si>
  <si>
    <r>
      <t xml:space="preserve"> Implemented formula-based Conditional Formatting to dynamically highlight Order IDs by comparing cell values with a fixed reference cell (</t>
    </r>
    <r>
      <rPr>
        <b/>
        <sz val="10"/>
        <color theme="1"/>
        <rFont val="Arial Unicode MS"/>
        <family val="2"/>
      </rPr>
      <t>I16=$R$16</t>
    </r>
    <r>
      <rPr>
        <b/>
        <sz val="11"/>
        <color theme="1"/>
        <rFont val="Calibri"/>
        <family val="2"/>
        <scheme val="minor"/>
      </rPr>
      <t>), improving data visibility and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</si>
</sst>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b/>
      <sz val="10"/>
      <color theme="1"/>
      <name val="Arial Unicode MS"/>
      <family val="2"/>
    </font>
  </fonts>
  <fills count="19">
    <fill>
      <patternFill patternType="none"/>
    </fill>
    <fill>
      <patternFill patternType="gray125"/>
    </fill>
    <fill>
      <patternFill patternType="solid">
        <fgColor rgb="FFFF7C80"/>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rgb="FFE2F4F8"/>
        <bgColor indexed="64"/>
      </patternFill>
    </fill>
    <fill>
      <patternFill patternType="solid">
        <fgColor rgb="FFCCFFCC"/>
        <bgColor indexed="64"/>
      </patternFill>
    </fill>
    <fill>
      <patternFill patternType="solid">
        <fgColor theme="6" tint="0.59999389629810485"/>
        <bgColor indexed="64"/>
      </patternFill>
    </fill>
    <fill>
      <patternFill patternType="solid">
        <fgColor rgb="FFCCFFFF"/>
        <bgColor indexed="64"/>
      </patternFill>
    </fill>
    <fill>
      <patternFill patternType="solid">
        <fgColor rgb="FFFFCCCC"/>
        <bgColor indexed="64"/>
      </patternFill>
    </fill>
    <fill>
      <patternFill patternType="solid">
        <fgColor rgb="FFCCCC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50">
    <xf numFmtId="0" fontId="0" fillId="0" borderId="0" xfId="0"/>
    <xf numFmtId="0" fontId="1" fillId="0" borderId="1" xfId="0" applyFont="1" applyBorder="1"/>
    <xf numFmtId="0" fontId="0" fillId="0" borderId="1" xfId="0" applyBorder="1"/>
    <xf numFmtId="22" fontId="0" fillId="0" borderId="1" xfId="0" applyNumberFormat="1"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22" fontId="0" fillId="0" borderId="8" xfId="0" applyNumberFormat="1" applyBorder="1"/>
    <xf numFmtId="0" fontId="0" fillId="0" borderId="8" xfId="0" applyBorder="1"/>
    <xf numFmtId="0" fontId="0" fillId="0" borderId="9" xfId="0" applyBorder="1"/>
    <xf numFmtId="0" fontId="1" fillId="3" borderId="1" xfId="0" applyFont="1" applyFill="1" applyBorder="1"/>
    <xf numFmtId="0" fontId="0" fillId="4" borderId="1" xfId="0" applyFill="1" applyBorder="1"/>
    <xf numFmtId="0" fontId="1" fillId="5" borderId="1" xfId="0" applyFont="1" applyFill="1" applyBorder="1"/>
    <xf numFmtId="0" fontId="0" fillId="6" borderId="1" xfId="0" applyFill="1" applyBorder="1"/>
    <xf numFmtId="22" fontId="0" fillId="6" borderId="1" xfId="0" applyNumberFormat="1" applyFill="1" applyBorder="1"/>
    <xf numFmtId="0" fontId="1" fillId="7" borderId="1" xfId="0" applyFont="1" applyFill="1" applyBorder="1"/>
    <xf numFmtId="0" fontId="0" fillId="8" borderId="1" xfId="0" applyFill="1" applyBorder="1"/>
    <xf numFmtId="0" fontId="1" fillId="9" borderId="1" xfId="0" applyFont="1" applyFill="1" applyBorder="1"/>
    <xf numFmtId="0" fontId="0" fillId="7" borderId="1" xfId="0" applyFill="1" applyBorder="1"/>
    <xf numFmtId="0" fontId="1" fillId="10" borderId="1" xfId="0" applyFont="1" applyFill="1" applyBorder="1"/>
    <xf numFmtId="0" fontId="0" fillId="9" borderId="1" xfId="0" applyFill="1" applyBorder="1"/>
    <xf numFmtId="0" fontId="1" fillId="2" borderId="1" xfId="0" applyFont="1" applyFill="1" applyBorder="1"/>
    <xf numFmtId="0" fontId="0" fillId="11" borderId="1" xfId="0" applyFill="1" applyBorder="1"/>
    <xf numFmtId="0" fontId="1" fillId="12" borderId="1" xfId="0" applyFont="1" applyFill="1" applyBorder="1"/>
    <xf numFmtId="0" fontId="1" fillId="13" borderId="1" xfId="0" applyFont="1" applyFill="1" applyBorder="1"/>
    <xf numFmtId="0" fontId="0" fillId="14" borderId="1" xfId="0" applyFill="1" applyBorder="1"/>
    <xf numFmtId="0" fontId="1" fillId="6" borderId="1" xfId="0" applyFont="1" applyFill="1" applyBorder="1"/>
    <xf numFmtId="0" fontId="0" fillId="15" borderId="1" xfId="0" applyFill="1" applyBorder="1"/>
    <xf numFmtId="0" fontId="0" fillId="16" borderId="1" xfId="0" applyFill="1" applyBorder="1"/>
    <xf numFmtId="0" fontId="1" fillId="4" borderId="1" xfId="0" applyFont="1" applyFill="1" applyBorder="1"/>
    <xf numFmtId="0" fontId="1" fillId="16" borderId="1" xfId="0" applyFont="1" applyFill="1" applyBorder="1"/>
    <xf numFmtId="0" fontId="0" fillId="17" borderId="1" xfId="0" applyFill="1" applyBorder="1"/>
    <xf numFmtId="0" fontId="0" fillId="18" borderId="1"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vertical="center" indent="1"/>
    </xf>
    <xf numFmtId="0" fontId="1" fillId="18" borderId="1" xfId="0" applyFont="1" applyFill="1" applyBorder="1"/>
    <xf numFmtId="0" fontId="1" fillId="17" borderId="1" xfId="0" applyFont="1" applyFill="1" applyBorder="1"/>
    <xf numFmtId="0" fontId="1" fillId="18" borderId="1" xfId="0" applyFont="1" applyFill="1" applyBorder="1" applyAlignment="1">
      <alignment horizontal="left" vertical="center" indent="1"/>
    </xf>
    <xf numFmtId="0" fontId="1" fillId="18" borderId="1" xfId="0" applyFont="1" applyFill="1" applyBorder="1" applyAlignment="1">
      <alignment wrapText="1"/>
    </xf>
    <xf numFmtId="0" fontId="1" fillId="14" borderId="1" xfId="0" applyFont="1" applyFill="1" applyBorder="1"/>
    <xf numFmtId="0" fontId="0" fillId="0" borderId="0" xfId="0" applyNumberFormat="1"/>
    <xf numFmtId="0" fontId="1" fillId="7" borderId="1" xfId="0" applyFont="1" applyFill="1" applyBorder="1" applyAlignment="1">
      <alignment horizontal="left" vertical="center" indent="1"/>
    </xf>
    <xf numFmtId="0" fontId="1" fillId="7" borderId="8" xfId="0" applyFont="1" applyFill="1" applyBorder="1" applyAlignment="1">
      <alignment horizontal="left" vertical="center" indent="1"/>
    </xf>
    <xf numFmtId="0" fontId="1" fillId="7" borderId="8" xfId="0" applyFont="1" applyFill="1" applyBorder="1"/>
  </cellXfs>
  <cellStyles count="1">
    <cellStyle name="Normal" xfId="0" builtinId="0"/>
  </cellStyles>
  <dxfs count="61">
    <dxf>
      <fill>
        <patternFill>
          <bgColor theme="9" tint="0.59996337778862885"/>
        </patternFill>
      </fill>
    </dxf>
    <dxf>
      <fill>
        <patternFill>
          <bgColor theme="9" tint="0.59996337778862885"/>
        </patternFill>
      </fill>
    </dxf>
    <dxf>
      <fill>
        <patternFill>
          <bgColor rgb="FFFF6699"/>
        </patternFill>
      </fill>
    </dxf>
    <dxf>
      <fill>
        <patternFill>
          <bgColor theme="9" tint="0.39994506668294322"/>
        </patternFill>
      </fill>
    </dxf>
    <dxf>
      <fill>
        <patternFill>
          <bgColor theme="5" tint="0.59996337778862885"/>
        </patternFill>
      </fill>
    </dxf>
    <dxf>
      <fill>
        <patternFill>
          <bgColor rgb="FFFFCC99"/>
        </patternFill>
      </fill>
    </dxf>
    <dxf>
      <fill>
        <patternFill>
          <bgColor rgb="FF00FFFF"/>
        </patternFill>
      </fill>
    </dxf>
    <dxf>
      <fill>
        <patternFill>
          <bgColor rgb="FFFF7C80"/>
        </patternFill>
      </fill>
    </dxf>
    <dxf>
      <fill>
        <patternFill>
          <bgColor theme="9" tint="0.59996337778862885"/>
        </patternFill>
      </fill>
    </dxf>
    <dxf>
      <fill>
        <patternFill>
          <bgColor theme="9" tint="0.39994506668294322"/>
        </patternFill>
      </fill>
    </dxf>
    <dxf>
      <fill>
        <patternFill>
          <bgColor theme="5" tint="0.59996337778862885"/>
        </patternFill>
      </fill>
    </dxf>
    <dxf>
      <fill>
        <patternFill>
          <bgColor rgb="FFFFCC99"/>
        </patternFill>
      </fill>
    </dxf>
    <dxf>
      <fill>
        <patternFill>
          <bgColor rgb="FF00FFFF"/>
        </patternFill>
      </fill>
    </dxf>
    <dxf>
      <fill>
        <patternFill>
          <bgColor rgb="FFFF7C80"/>
        </patternFill>
      </fill>
    </dxf>
    <dxf>
      <fill>
        <patternFill>
          <bgColor theme="5" tint="0.59996337778862885"/>
        </patternFill>
      </fill>
    </dxf>
    <dxf>
      <fill>
        <patternFill>
          <bgColor rgb="FFFFCC99"/>
        </patternFill>
      </fill>
    </dxf>
    <dxf>
      <fill>
        <patternFill>
          <bgColor rgb="FF00FFFF"/>
        </patternFill>
      </fill>
    </dxf>
    <dxf>
      <fill>
        <patternFill>
          <bgColor rgb="FFFF7C80"/>
        </patternFill>
      </fill>
    </dxf>
    <dxf>
      <fill>
        <patternFill>
          <bgColor rgb="FFFFCC99"/>
        </patternFill>
      </fill>
    </dxf>
    <dxf>
      <fill>
        <patternFill>
          <bgColor rgb="FF00FFFF"/>
        </patternFill>
      </fill>
    </dxf>
    <dxf>
      <fill>
        <patternFill>
          <bgColor rgb="FFFF7C80"/>
        </patternFill>
      </fill>
    </dxf>
    <dxf>
      <fill>
        <patternFill>
          <bgColor rgb="FF00FFFF"/>
        </patternFill>
      </fill>
    </dxf>
    <dxf>
      <fill>
        <patternFill>
          <bgColor rgb="FFFF7C80"/>
        </patternFill>
      </fill>
    </dxf>
    <dxf>
      <fill>
        <patternFill>
          <bgColor rgb="FFFF7C80"/>
        </patternFill>
      </fill>
    </dxf>
    <dxf>
      <font>
        <color rgb="FFFF7C80"/>
      </font>
      <fill>
        <patternFill>
          <bgColor rgb="FFFF7C80"/>
        </patternFill>
      </fill>
    </dxf>
    <dxf>
      <font>
        <color rgb="FFFF7C80"/>
      </font>
      <fill>
        <patternFill>
          <bgColor rgb="FFFF7C80"/>
        </patternFill>
      </fill>
    </dxf>
    <dxf>
      <fill>
        <patternFill>
          <bgColor theme="5" tint="0.39994506668294322"/>
        </patternFill>
      </fill>
    </dxf>
    <dxf>
      <fill>
        <patternFill>
          <bgColor theme="4" tint="0.39994506668294322"/>
        </patternFill>
      </fill>
    </dxf>
    <dxf>
      <fill>
        <patternFill>
          <bgColor theme="4" tint="0.39994506668294322"/>
        </patternFill>
      </fill>
    </dxf>
    <dxf>
      <font>
        <color theme="9" tint="0.39994506668294322"/>
      </font>
    </dxf>
    <dxf>
      <font>
        <color theme="5" tint="-0.24994659260841701"/>
      </font>
    </dxf>
    <dxf>
      <fill>
        <patternFill>
          <bgColor rgb="FFFF5050"/>
        </patternFill>
      </fill>
    </dxf>
    <dxf>
      <font>
        <b/>
        <i val="0"/>
        <color rgb="FFFF0000"/>
      </font>
    </dxf>
    <dxf>
      <font>
        <b/>
        <i val="0"/>
        <color rgb="FFFFC000"/>
      </font>
    </dxf>
    <dxf>
      <fill>
        <patternFill>
          <bgColor theme="5" tint="0.39994506668294322"/>
        </patternFill>
      </fill>
    </dxf>
    <dxf>
      <fill>
        <patternFill>
          <bgColor theme="4" tint="0.39994506668294322"/>
        </patternFill>
      </fill>
    </dxf>
    <dxf>
      <fill>
        <patternFill>
          <bgColor theme="4" tint="0.39994506668294322"/>
        </patternFill>
      </fill>
    </dxf>
    <dxf>
      <font>
        <color theme="9" tint="0.39994506668294322"/>
      </font>
    </dxf>
    <dxf>
      <font>
        <color theme="5" tint="-0.24994659260841701"/>
      </font>
    </dxf>
    <dxf>
      <fill>
        <patternFill>
          <bgColor rgb="FFFF5050"/>
        </patternFill>
      </fill>
    </dxf>
    <dxf>
      <font>
        <b/>
        <i val="0"/>
        <color rgb="FFFF0000"/>
      </font>
    </dxf>
    <dxf>
      <font>
        <b/>
        <i val="0"/>
        <color rgb="FFFFC000"/>
      </font>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7" formatCode="dd/mm/yyyy\ hh:mm"/>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FF6699"/>
      <color rgb="FFFFCC99"/>
      <color rgb="FF00FFFF"/>
      <color rgb="FFFF7C80"/>
      <color rgb="FF9966FF"/>
      <color rgb="FFFFCCCC"/>
      <color rgb="FFCCFFCC"/>
      <color rgb="FFCCCCFF"/>
      <color rgb="FFCCFFFF"/>
      <color rgb="FFE2F4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[project.xlsx]PivotTable!PivotTable1</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069-494B-9CC3-92C1998C4B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069-494B-9CC3-92C1998C4B4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069-494B-9CC3-92C1998C4B4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069-494B-9CC3-92C1998C4B4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069-494B-9CC3-92C1998C4B4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069-494B-9CC3-92C1998C4B4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069-494B-9CC3-92C1998C4B4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069-494B-9CC3-92C1998C4B4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069-494B-9CC3-92C1998C4B4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069-494B-9CC3-92C1998C4B46}"/>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2069-494B-9CC3-92C1998C4B46}"/>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2069-494B-9CC3-92C1998C4B46}"/>
              </c:ext>
            </c:extLst>
          </c:dPt>
          <c:cat>
            <c:strRef>
              <c:f>PivotTable!$A$4:$A$16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PivotTable!$B$4:$B$16</c:f>
              <c:numCache>
                <c:formatCode>General</c:formatCode>
                <c:ptCount val="12"/>
                <c:pt idx="0">
                  <c:v>67849.100000000006</c:v>
                </c:pt>
                <c:pt idx="1">
                  <c:v>86270.12000000001</c:v>
                </c:pt>
                <c:pt idx="2">
                  <c:v>116153.09999999999</c:v>
                </c:pt>
                <c:pt idx="3">
                  <c:v>84777</c:v>
                </c:pt>
                <c:pt idx="4">
                  <c:v>63789.610000000008</c:v>
                </c:pt>
                <c:pt idx="5">
                  <c:v>70018.990000000005</c:v>
                </c:pt>
                <c:pt idx="6">
                  <c:v>129923.63</c:v>
                </c:pt>
                <c:pt idx="7">
                  <c:v>119678.06999999999</c:v>
                </c:pt>
                <c:pt idx="8">
                  <c:v>120702.00000000001</c:v>
                </c:pt>
                <c:pt idx="9">
                  <c:v>116900.77</c:v>
                </c:pt>
                <c:pt idx="10">
                  <c:v>107101.70999999999</c:v>
                </c:pt>
                <c:pt idx="11">
                  <c:v>98345.160000000018</c:v>
                </c:pt>
              </c:numCache>
            </c:numRef>
          </c:val>
          <c:extLst>
            <c:ext xmlns:c16="http://schemas.microsoft.com/office/drawing/2014/chart" uri="{C3380CC4-5D6E-409C-BE32-E72D297353CC}">
              <c16:uniqueId val="{00000018-2069-494B-9CC3-92C1998C4B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[project.xlsx]PivotTable!PivotTable2</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PivotTable!$D$4:$D$9</c:f>
              <c:strCache>
                <c:ptCount val="5"/>
                <c:pt idx="0">
                  <c:v>Central</c:v>
                </c:pt>
                <c:pt idx="1">
                  <c:v>East</c:v>
                </c:pt>
                <c:pt idx="2">
                  <c:v>North</c:v>
                </c:pt>
                <c:pt idx="3">
                  <c:v>South</c:v>
                </c:pt>
                <c:pt idx="4">
                  <c:v>West</c:v>
                </c:pt>
              </c:strCache>
            </c:strRef>
          </c:cat>
          <c:val>
            <c:numRef>
              <c:f>PivotTable!$E$4:$E$9</c:f>
              <c:numCache>
                <c:formatCode>General</c:formatCode>
                <c:ptCount val="5"/>
                <c:pt idx="0">
                  <c:v>791669.02</c:v>
                </c:pt>
                <c:pt idx="1">
                  <c:v>864851.53000000014</c:v>
                </c:pt>
                <c:pt idx="2">
                  <c:v>935638.46999999986</c:v>
                </c:pt>
                <c:pt idx="3">
                  <c:v>726710.28000000014</c:v>
                </c:pt>
                <c:pt idx="4">
                  <c:v>651026.38000000012</c:v>
                </c:pt>
              </c:numCache>
            </c:numRef>
          </c:val>
          <c:extLst>
            <c:ext xmlns:c16="http://schemas.microsoft.com/office/drawing/2014/chart" uri="{C3380CC4-5D6E-409C-BE32-E72D297353CC}">
              <c16:uniqueId val="{00000000-66D0-4631-8265-44C96E455C32}"/>
            </c:ext>
          </c:extLst>
        </c:ser>
        <c:dLbls>
          <c:showLegendKey val="0"/>
          <c:showVal val="0"/>
          <c:showCatName val="0"/>
          <c:showSerName val="0"/>
          <c:showPercent val="0"/>
          <c:showBubbleSize val="0"/>
        </c:dLbls>
        <c:gapWidth val="150"/>
        <c:overlap val="100"/>
        <c:axId val="1595328831"/>
        <c:axId val="1595329311"/>
      </c:barChart>
      <c:catAx>
        <c:axId val="1595328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329311"/>
        <c:crosses val="autoZero"/>
        <c:auto val="1"/>
        <c:lblAlgn val="ctr"/>
        <c:lblOffset val="100"/>
        <c:noMultiLvlLbl val="0"/>
      </c:catAx>
      <c:valAx>
        <c:axId val="15953293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32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[project.xlsx]PivotTable!PivotTable3</c:name>
    <c:fmtId val="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PivotTable!$H$3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PivotTable!$G$4:$G$70</c:f>
              <c:multiLvlStrCache>
                <c:ptCount val="54"/>
                <c:lvl>
                  <c:pt idx="0">
                    <c:v>Binders</c:v>
                  </c:pt>
                  <c:pt idx="1">
                    <c:v>Chairs</c:v>
                  </c:pt>
                  <c:pt idx="2">
                    <c:v>Laptops</c:v>
                  </c:pt>
                  <c:pt idx="3">
                    <c:v>Phones</c:v>
                  </c:pt>
                  <c:pt idx="4">
                    <c:v>Storage</c:v>
                  </c:pt>
                  <c:pt idx="5">
                    <c:v>Tables</c:v>
                  </c:pt>
                  <c:pt idx="6">
                    <c:v>Binders</c:v>
                  </c:pt>
                  <c:pt idx="7">
                    <c:v>Chairs</c:v>
                  </c:pt>
                  <c:pt idx="8">
                    <c:v>Laptops</c:v>
                  </c:pt>
                  <c:pt idx="9">
                    <c:v>Phones</c:v>
                  </c:pt>
                  <c:pt idx="10">
                    <c:v>Storage</c:v>
                  </c:pt>
                  <c:pt idx="11">
                    <c:v>Tables</c:v>
                  </c:pt>
                  <c:pt idx="12">
                    <c:v>Binders</c:v>
                  </c:pt>
                  <c:pt idx="13">
                    <c:v>Chairs</c:v>
                  </c:pt>
                  <c:pt idx="14">
                    <c:v>Laptops</c:v>
                  </c:pt>
                  <c:pt idx="15">
                    <c:v>Phones</c:v>
                  </c:pt>
                  <c:pt idx="16">
                    <c:v>Storage</c:v>
                  </c:pt>
                  <c:pt idx="17">
                    <c:v>Tables</c:v>
                  </c:pt>
                  <c:pt idx="18">
                    <c:v>Binders</c:v>
                  </c:pt>
                  <c:pt idx="19">
                    <c:v>Chairs</c:v>
                  </c:pt>
                  <c:pt idx="20">
                    <c:v>Laptops</c:v>
                  </c:pt>
                  <c:pt idx="21">
                    <c:v>Phones</c:v>
                  </c:pt>
                  <c:pt idx="22">
                    <c:v>Storage</c:v>
                  </c:pt>
                  <c:pt idx="23">
                    <c:v>Tables</c:v>
                  </c:pt>
                  <c:pt idx="24">
                    <c:v>Binders</c:v>
                  </c:pt>
                  <c:pt idx="25">
                    <c:v>Chairs</c:v>
                  </c:pt>
                  <c:pt idx="26">
                    <c:v>Laptops</c:v>
                  </c:pt>
                  <c:pt idx="27">
                    <c:v>Phones</c:v>
                  </c:pt>
                  <c:pt idx="28">
                    <c:v>Storage</c:v>
                  </c:pt>
                  <c:pt idx="29">
                    <c:v>Tables</c:v>
                  </c:pt>
                  <c:pt idx="30">
                    <c:v>Binders</c:v>
                  </c:pt>
                  <c:pt idx="31">
                    <c:v>Chairs</c:v>
                  </c:pt>
                  <c:pt idx="32">
                    <c:v>Laptops</c:v>
                  </c:pt>
                  <c:pt idx="33">
                    <c:v>Phones</c:v>
                  </c:pt>
                  <c:pt idx="34">
                    <c:v>Storage</c:v>
                  </c:pt>
                  <c:pt idx="35">
                    <c:v>Tables</c:v>
                  </c:pt>
                  <c:pt idx="36">
                    <c:v>Binders</c:v>
                  </c:pt>
                  <c:pt idx="37">
                    <c:v>Chairs</c:v>
                  </c:pt>
                  <c:pt idx="38">
                    <c:v>Laptops</c:v>
                  </c:pt>
                  <c:pt idx="39">
                    <c:v>Phones</c:v>
                  </c:pt>
                  <c:pt idx="40">
                    <c:v>Storage</c:v>
                  </c:pt>
                  <c:pt idx="41">
                    <c:v>Tables</c:v>
                  </c:pt>
                  <c:pt idx="42">
                    <c:v>Binders</c:v>
                  </c:pt>
                  <c:pt idx="43">
                    <c:v>Chairs</c:v>
                  </c:pt>
                  <c:pt idx="44">
                    <c:v>Laptops</c:v>
                  </c:pt>
                  <c:pt idx="45">
                    <c:v>Phones</c:v>
                  </c:pt>
                  <c:pt idx="46">
                    <c:v>Storage</c:v>
                  </c:pt>
                  <c:pt idx="47">
                    <c:v>Tables</c:v>
                  </c:pt>
                  <c:pt idx="48">
                    <c:v>Binders</c:v>
                  </c:pt>
                  <c:pt idx="49">
                    <c:v>Chairs</c:v>
                  </c:pt>
                  <c:pt idx="50">
                    <c:v>Laptops</c:v>
                  </c:pt>
                  <c:pt idx="51">
                    <c:v>Phones</c:v>
                  </c:pt>
                  <c:pt idx="52">
                    <c:v>Storage</c:v>
                  </c:pt>
                  <c:pt idx="53">
                    <c:v>Tables</c:v>
                  </c:pt>
                </c:lvl>
                <c:lvl>
                  <c:pt idx="0">
                    <c:v>Furniture</c:v>
                  </c:pt>
                  <c:pt idx="6">
                    <c:v>Office Supplies</c:v>
                  </c:pt>
                  <c:pt idx="12">
                    <c:v>Technology</c:v>
                  </c:pt>
                  <c:pt idx="18">
                    <c:v>Furniture</c:v>
                  </c:pt>
                  <c:pt idx="24">
                    <c:v>Office Supplies</c:v>
                  </c:pt>
                  <c:pt idx="30">
                    <c:v>Technology</c:v>
                  </c:pt>
                  <c:pt idx="36">
                    <c:v>Furniture</c:v>
                  </c:pt>
                  <c:pt idx="42">
                    <c:v>Office Supplies</c:v>
                  </c:pt>
                  <c:pt idx="48">
                    <c:v>Technology</c:v>
                  </c:pt>
                </c:lvl>
                <c:lvl>
                  <c:pt idx="0">
                    <c:v>Consumer</c:v>
                  </c:pt>
                  <c:pt idx="18">
                    <c:v>Corporate</c:v>
                  </c:pt>
                  <c:pt idx="36">
                    <c:v>Home Office</c:v>
                  </c:pt>
                </c:lvl>
              </c:multiLvlStrCache>
            </c:multiLvlStrRef>
          </c:cat>
          <c:val>
            <c:numRef>
              <c:f>PivotTable!$H$4:$H$70</c:f>
              <c:numCache>
                <c:formatCode>General</c:formatCode>
                <c:ptCount val="54"/>
                <c:pt idx="0">
                  <c:v>56916.219999999994</c:v>
                </c:pt>
                <c:pt idx="1">
                  <c:v>40908.17</c:v>
                </c:pt>
                <c:pt idx="2">
                  <c:v>45652.06</c:v>
                </c:pt>
                <c:pt idx="3">
                  <c:v>75706.649999999994</c:v>
                </c:pt>
                <c:pt idx="4">
                  <c:v>84957.51</c:v>
                </c:pt>
                <c:pt idx="5">
                  <c:v>19849.080000000002</c:v>
                </c:pt>
                <c:pt idx="6">
                  <c:v>44853.4</c:v>
                </c:pt>
                <c:pt idx="7">
                  <c:v>119253.11</c:v>
                </c:pt>
                <c:pt idx="8">
                  <c:v>28991.940000000002</c:v>
                </c:pt>
                <c:pt idx="9">
                  <c:v>61159.520000000011</c:v>
                </c:pt>
                <c:pt idx="10">
                  <c:v>51451.94</c:v>
                </c:pt>
                <c:pt idx="11">
                  <c:v>44951.05</c:v>
                </c:pt>
                <c:pt idx="12">
                  <c:v>39468.800000000003</c:v>
                </c:pt>
                <c:pt idx="13">
                  <c:v>19674.72</c:v>
                </c:pt>
                <c:pt idx="14">
                  <c:v>24149.57</c:v>
                </c:pt>
                <c:pt idx="15">
                  <c:v>25993.54</c:v>
                </c:pt>
                <c:pt idx="16">
                  <c:v>61130.44</c:v>
                </c:pt>
                <c:pt idx="17">
                  <c:v>50282.8</c:v>
                </c:pt>
                <c:pt idx="18">
                  <c:v>54596.33</c:v>
                </c:pt>
                <c:pt idx="19">
                  <c:v>81407.06</c:v>
                </c:pt>
                <c:pt idx="20">
                  <c:v>35451.11</c:v>
                </c:pt>
                <c:pt idx="21">
                  <c:v>70730.010000000009</c:v>
                </c:pt>
                <c:pt idx="22">
                  <c:v>95198.48</c:v>
                </c:pt>
                <c:pt idx="23">
                  <c:v>73976.94</c:v>
                </c:pt>
                <c:pt idx="24">
                  <c:v>55517.79</c:v>
                </c:pt>
                <c:pt idx="25">
                  <c:v>75186.720000000001</c:v>
                </c:pt>
                <c:pt idx="26">
                  <c:v>80830.55</c:v>
                </c:pt>
                <c:pt idx="27">
                  <c:v>19635.86</c:v>
                </c:pt>
                <c:pt idx="28">
                  <c:v>75436.08</c:v>
                </c:pt>
                <c:pt idx="29">
                  <c:v>13642.82</c:v>
                </c:pt>
                <c:pt idx="30">
                  <c:v>82010.62</c:v>
                </c:pt>
                <c:pt idx="31">
                  <c:v>45148.72</c:v>
                </c:pt>
                <c:pt idx="32">
                  <c:v>39596.159999999996</c:v>
                </c:pt>
                <c:pt idx="33">
                  <c:v>62513.490000000005</c:v>
                </c:pt>
                <c:pt idx="34">
                  <c:v>21833.55</c:v>
                </c:pt>
                <c:pt idx="35">
                  <c:v>57265.570000000007</c:v>
                </c:pt>
                <c:pt idx="36">
                  <c:v>29204.15</c:v>
                </c:pt>
                <c:pt idx="37">
                  <c:v>52410</c:v>
                </c:pt>
                <c:pt idx="38">
                  <c:v>72795.47</c:v>
                </c:pt>
                <c:pt idx="39">
                  <c:v>57210.869999999995</c:v>
                </c:pt>
                <c:pt idx="40">
                  <c:v>34871.300000000003</c:v>
                </c:pt>
                <c:pt idx="41">
                  <c:v>34028.92</c:v>
                </c:pt>
                <c:pt idx="42">
                  <c:v>58181.759999999995</c:v>
                </c:pt>
                <c:pt idx="43">
                  <c:v>62465.68</c:v>
                </c:pt>
                <c:pt idx="44">
                  <c:v>30877.829999999998</c:v>
                </c:pt>
                <c:pt idx="45">
                  <c:v>36629.729999999996</c:v>
                </c:pt>
                <c:pt idx="46">
                  <c:v>26043.93</c:v>
                </c:pt>
                <c:pt idx="47">
                  <c:v>22069.75</c:v>
                </c:pt>
                <c:pt idx="48">
                  <c:v>97509.669999999984</c:v>
                </c:pt>
                <c:pt idx="49">
                  <c:v>54565.649999999994</c:v>
                </c:pt>
                <c:pt idx="50">
                  <c:v>23515.690000000002</c:v>
                </c:pt>
                <c:pt idx="51">
                  <c:v>12710.859999999999</c:v>
                </c:pt>
                <c:pt idx="52">
                  <c:v>98118.430000000008</c:v>
                </c:pt>
                <c:pt idx="53">
                  <c:v>49848.35</c:v>
                </c:pt>
              </c:numCache>
            </c:numRef>
          </c:val>
          <c:smooth val="0"/>
          <c:extLst>
            <c:ext xmlns:c16="http://schemas.microsoft.com/office/drawing/2014/chart" uri="{C3380CC4-5D6E-409C-BE32-E72D297353CC}">
              <c16:uniqueId val="{00000000-B47D-46E9-82A4-451B80F79D50}"/>
            </c:ext>
          </c:extLst>
        </c:ser>
        <c:dLbls>
          <c:showLegendKey val="0"/>
          <c:showVal val="0"/>
          <c:showCatName val="0"/>
          <c:showSerName val="0"/>
          <c:showPercent val="0"/>
          <c:showBubbleSize val="0"/>
        </c:dLbls>
        <c:marker val="1"/>
        <c:smooth val="0"/>
        <c:axId val="1333094783"/>
        <c:axId val="1333095263"/>
      </c:lineChart>
      <c:catAx>
        <c:axId val="13330947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3095263"/>
        <c:crosses val="autoZero"/>
        <c:auto val="1"/>
        <c:lblAlgn val="ctr"/>
        <c:lblOffset val="100"/>
        <c:noMultiLvlLbl val="0"/>
      </c:catAx>
      <c:valAx>
        <c:axId val="13330952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309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[project.xlsx]PivotTable!PivotTable4</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PivotTable!$J$4:$J$34</c:f>
              <c:multiLvlStrCache>
                <c:ptCount val="25"/>
                <c:lvl>
                  <c:pt idx="0">
                    <c:v>Central</c:v>
                  </c:pt>
                  <c:pt idx="1">
                    <c:v>East</c:v>
                  </c:pt>
                  <c:pt idx="2">
                    <c:v>North</c:v>
                  </c:pt>
                  <c:pt idx="3">
                    <c:v>South</c:v>
                  </c:pt>
                  <c:pt idx="4">
                    <c:v>West</c:v>
                  </c:pt>
                  <c:pt idx="5">
                    <c:v>Central</c:v>
                  </c:pt>
                  <c:pt idx="6">
                    <c:v>East</c:v>
                  </c:pt>
                  <c:pt idx="7">
                    <c:v>North</c:v>
                  </c:pt>
                  <c:pt idx="8">
                    <c:v>South</c:v>
                  </c:pt>
                  <c:pt idx="9">
                    <c:v>West</c:v>
                  </c:pt>
                  <c:pt idx="10">
                    <c:v>Central</c:v>
                  </c:pt>
                  <c:pt idx="11">
                    <c:v>East</c:v>
                  </c:pt>
                  <c:pt idx="12">
                    <c:v>North</c:v>
                  </c:pt>
                  <c:pt idx="13">
                    <c:v>South</c:v>
                  </c:pt>
                  <c:pt idx="14">
                    <c:v>West</c:v>
                  </c:pt>
                  <c:pt idx="15">
                    <c:v>Central</c:v>
                  </c:pt>
                  <c:pt idx="16">
                    <c:v>East</c:v>
                  </c:pt>
                  <c:pt idx="17">
                    <c:v>North</c:v>
                  </c:pt>
                  <c:pt idx="18">
                    <c:v>South</c:v>
                  </c:pt>
                  <c:pt idx="19">
                    <c:v>West</c:v>
                  </c:pt>
                  <c:pt idx="20">
                    <c:v>Central</c:v>
                  </c:pt>
                  <c:pt idx="21">
                    <c:v>East</c:v>
                  </c:pt>
                  <c:pt idx="22">
                    <c:v>North</c:v>
                  </c:pt>
                  <c:pt idx="23">
                    <c:v>South</c:v>
                  </c:pt>
                  <c:pt idx="24">
                    <c:v>West</c:v>
                  </c:pt>
                </c:lvl>
                <c:lvl>
                  <c:pt idx="0">
                    <c:v>Australia</c:v>
                  </c:pt>
                  <c:pt idx="5">
                    <c:v>Germany</c:v>
                  </c:pt>
                  <c:pt idx="10">
                    <c:v>India</c:v>
                  </c:pt>
                  <c:pt idx="15">
                    <c:v>UK</c:v>
                  </c:pt>
                  <c:pt idx="20">
                    <c:v>USA</c:v>
                  </c:pt>
                </c:lvl>
              </c:multiLvlStrCache>
            </c:multiLvlStrRef>
          </c:cat>
          <c:val>
            <c:numRef>
              <c:f>PivotTable!$K$4:$K$34</c:f>
              <c:numCache>
                <c:formatCode>General</c:formatCode>
                <c:ptCount val="25"/>
                <c:pt idx="0">
                  <c:v>91924.605801226542</c:v>
                </c:pt>
                <c:pt idx="1">
                  <c:v>44690.710833333331</c:v>
                </c:pt>
                <c:pt idx="2">
                  <c:v>20703.541777056278</c:v>
                </c:pt>
                <c:pt idx="3">
                  <c:v>99218.490892857153</c:v>
                </c:pt>
                <c:pt idx="4">
                  <c:v>38498.677461038962</c:v>
                </c:pt>
                <c:pt idx="5">
                  <c:v>26238.711833333335</c:v>
                </c:pt>
                <c:pt idx="6">
                  <c:v>81337.085595238095</c:v>
                </c:pt>
                <c:pt idx="7">
                  <c:v>74635.789370851373</c:v>
                </c:pt>
                <c:pt idx="8">
                  <c:v>26783.215014430014</c:v>
                </c:pt>
                <c:pt idx="9">
                  <c:v>9148.143</c:v>
                </c:pt>
                <c:pt idx="10">
                  <c:v>28369.899148629149</c:v>
                </c:pt>
                <c:pt idx="11">
                  <c:v>61463.360775974026</c:v>
                </c:pt>
                <c:pt idx="12">
                  <c:v>82797.541936147172</c:v>
                </c:pt>
                <c:pt idx="13">
                  <c:v>12915.584285714287</c:v>
                </c:pt>
                <c:pt idx="14">
                  <c:v>26628.97980663781</c:v>
                </c:pt>
                <c:pt idx="15">
                  <c:v>56013.148833333325</c:v>
                </c:pt>
                <c:pt idx="16">
                  <c:v>44199.023038961037</c:v>
                </c:pt>
                <c:pt idx="17">
                  <c:v>68320.665999999997</c:v>
                </c:pt>
                <c:pt idx="18">
                  <c:v>35430.049949494947</c:v>
                </c:pt>
                <c:pt idx="19">
                  <c:v>26144.333095238097</c:v>
                </c:pt>
                <c:pt idx="20">
                  <c:v>43399.521646464644</c:v>
                </c:pt>
                <c:pt idx="21">
                  <c:v>39463.382272727271</c:v>
                </c:pt>
                <c:pt idx="22">
                  <c:v>17294.537965367967</c:v>
                </c:pt>
                <c:pt idx="23">
                  <c:v>68480.790277777778</c:v>
                </c:pt>
                <c:pt idx="24">
                  <c:v>25176.131555555556</c:v>
                </c:pt>
              </c:numCache>
            </c:numRef>
          </c:val>
          <c:extLst>
            <c:ext xmlns:c16="http://schemas.microsoft.com/office/drawing/2014/chart" uri="{C3380CC4-5D6E-409C-BE32-E72D297353CC}">
              <c16:uniqueId val="{00000000-30C2-48A1-B52A-F60D93B2F8D2}"/>
            </c:ext>
          </c:extLst>
        </c:ser>
        <c:dLbls>
          <c:showLegendKey val="0"/>
          <c:showVal val="0"/>
          <c:showCatName val="0"/>
          <c:showSerName val="0"/>
          <c:showPercent val="0"/>
          <c:showBubbleSize val="0"/>
        </c:dLbls>
        <c:gapWidth val="150"/>
        <c:overlap val="100"/>
        <c:axId val="1380328895"/>
        <c:axId val="1595421295"/>
      </c:barChart>
      <c:catAx>
        <c:axId val="13803288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421295"/>
        <c:crosses val="autoZero"/>
        <c:auto val="1"/>
        <c:lblAlgn val="ctr"/>
        <c:lblOffset val="100"/>
        <c:noMultiLvlLbl val="0"/>
      </c:catAx>
      <c:valAx>
        <c:axId val="15954212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032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[project.xlsx]PivotTable!PivotTable5</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PivotTable!$E$12</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PivotTable!$D$13:$D$16</c:f>
              <c:strCache>
                <c:ptCount val="3"/>
                <c:pt idx="0">
                  <c:v>Consumer</c:v>
                </c:pt>
                <c:pt idx="1">
                  <c:v>Corporate</c:v>
                </c:pt>
                <c:pt idx="2">
                  <c:v>Home Office</c:v>
                </c:pt>
              </c:strCache>
            </c:strRef>
          </c:cat>
          <c:val>
            <c:numRef>
              <c:f>PivotTable!$E$13:$E$16</c:f>
              <c:numCache>
                <c:formatCode>General</c:formatCode>
                <c:ptCount val="3"/>
                <c:pt idx="0">
                  <c:v>364</c:v>
                </c:pt>
                <c:pt idx="1">
                  <c:v>482</c:v>
                </c:pt>
                <c:pt idx="2">
                  <c:v>336</c:v>
                </c:pt>
              </c:numCache>
            </c:numRef>
          </c:val>
          <c:extLst>
            <c:ext xmlns:c16="http://schemas.microsoft.com/office/drawing/2014/chart" uri="{C3380CC4-5D6E-409C-BE32-E72D297353CC}">
              <c16:uniqueId val="{00000000-2104-473B-8B7F-6FE9B8489CA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333095263"/>
        <c:axId val="1333095743"/>
      </c:areaChart>
      <c:catAx>
        <c:axId val="13330952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333095743"/>
        <c:crosses val="autoZero"/>
        <c:auto val="1"/>
        <c:lblAlgn val="ctr"/>
        <c:lblOffset val="100"/>
        <c:noMultiLvlLbl val="0"/>
      </c:catAx>
      <c:valAx>
        <c:axId val="133309574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30952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[project.xlsx]PivotTable!PivotTable6</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PivotTable!$B$18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964-427B-9AC0-1C4EFDE7BA2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964-427B-9AC0-1C4EFDE7BA2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964-427B-9AC0-1C4EFDE7BA2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964-427B-9AC0-1C4EFDE7BA2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964-427B-9AC0-1C4EFDE7BA2C}"/>
              </c:ext>
            </c:extLst>
          </c:dPt>
          <c:cat>
            <c:strRef>
              <c:f>PivotTable!$A$19:$A$24</c:f>
              <c:strCache>
                <c:ptCount val="5"/>
                <c:pt idx="0">
                  <c:v>Australia</c:v>
                </c:pt>
                <c:pt idx="1">
                  <c:v>Germany</c:v>
                </c:pt>
                <c:pt idx="2">
                  <c:v>India</c:v>
                </c:pt>
                <c:pt idx="3">
                  <c:v>UK</c:v>
                </c:pt>
                <c:pt idx="4">
                  <c:v>USA</c:v>
                </c:pt>
              </c:strCache>
            </c:strRef>
          </c:cat>
          <c:val>
            <c:numRef>
              <c:f>PivotTable!$B$19:$B$24</c:f>
              <c:numCache>
                <c:formatCode>General</c:formatCode>
                <c:ptCount val="5"/>
                <c:pt idx="0">
                  <c:v>838515.97000000009</c:v>
                </c:pt>
                <c:pt idx="1">
                  <c:v>813240.44000000006</c:v>
                </c:pt>
                <c:pt idx="2">
                  <c:v>786656.83</c:v>
                </c:pt>
                <c:pt idx="3">
                  <c:v>840243.01000000013</c:v>
                </c:pt>
                <c:pt idx="4">
                  <c:v>691239.42999999982</c:v>
                </c:pt>
              </c:numCache>
            </c:numRef>
          </c:val>
          <c:extLst>
            <c:ext xmlns:c16="http://schemas.microsoft.com/office/drawing/2014/chart" uri="{C3380CC4-5D6E-409C-BE32-E72D297353CC}">
              <c16:uniqueId val="{0000000A-B964-427B-9AC0-1C4EFDE7BA2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99060</xdr:colOff>
      <xdr:row>13</xdr:row>
      <xdr:rowOff>45720</xdr:rowOff>
    </xdr:to>
    <xdr:graphicFrame macro="">
      <xdr:nvGraphicFramePr>
        <xdr:cNvPr id="2" name="Chart 1">
          <a:extLst>
            <a:ext uri="{FF2B5EF4-FFF2-40B4-BE49-F238E27FC236}">
              <a16:creationId xmlns:a16="http://schemas.microsoft.com/office/drawing/2014/main" id="{AB341430-EDC1-0A0E-9BCE-54177B5F9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91440</xdr:colOff>
      <xdr:row>0</xdr:row>
      <xdr:rowOff>0</xdr:rowOff>
    </xdr:from>
    <xdr:to>
      <xdr:col>10</xdr:col>
      <xdr:colOff>601980</xdr:colOff>
      <xdr:row>13</xdr:row>
      <xdr:rowOff>38100</xdr:rowOff>
    </xdr:to>
    <xdr:graphicFrame macro="">
      <xdr:nvGraphicFramePr>
        <xdr:cNvPr id="3" name="Chart 2">
          <a:extLst>
            <a:ext uri="{FF2B5EF4-FFF2-40B4-BE49-F238E27FC236}">
              <a16:creationId xmlns:a16="http://schemas.microsoft.com/office/drawing/2014/main" id="{84DAC92D-3653-ED25-7923-38475500A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571500</xdr:colOff>
      <xdr:row>0</xdr:row>
      <xdr:rowOff>7620</xdr:rowOff>
    </xdr:from>
    <xdr:to>
      <xdr:col>17</xdr:col>
      <xdr:colOff>342900</xdr:colOff>
      <xdr:row>13</xdr:row>
      <xdr:rowOff>45720</xdr:rowOff>
    </xdr:to>
    <xdr:graphicFrame macro="">
      <xdr:nvGraphicFramePr>
        <xdr:cNvPr id="4" name="Chart 3">
          <a:extLst>
            <a:ext uri="{FF2B5EF4-FFF2-40B4-BE49-F238E27FC236}">
              <a16:creationId xmlns:a16="http://schemas.microsoft.com/office/drawing/2014/main" id="{7B11F0F9-71E0-2C93-E57D-E0BD158E7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38100</xdr:rowOff>
    </xdr:from>
    <xdr:to>
      <xdr:col>7</xdr:col>
      <xdr:colOff>15240</xdr:colOff>
      <xdr:row>25</xdr:row>
      <xdr:rowOff>0</xdr:rowOff>
    </xdr:to>
    <xdr:graphicFrame macro="">
      <xdr:nvGraphicFramePr>
        <xdr:cNvPr id="5" name="Chart 4">
          <a:extLst>
            <a:ext uri="{FF2B5EF4-FFF2-40B4-BE49-F238E27FC236}">
              <a16:creationId xmlns:a16="http://schemas.microsoft.com/office/drawing/2014/main" id="{7718F3CD-42E7-9D65-14DC-B6750674E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7620</xdr:colOff>
      <xdr:row>13</xdr:row>
      <xdr:rowOff>34290</xdr:rowOff>
    </xdr:from>
    <xdr:to>
      <xdr:col>12</xdr:col>
      <xdr:colOff>274320</xdr:colOff>
      <xdr:row>26</xdr:row>
      <xdr:rowOff>129540</xdr:rowOff>
    </xdr:to>
    <xdr:graphicFrame macro="">
      <xdr:nvGraphicFramePr>
        <xdr:cNvPr id="6" name="Chart 5">
          <a:extLst>
            <a:ext uri="{FF2B5EF4-FFF2-40B4-BE49-F238E27FC236}">
              <a16:creationId xmlns:a16="http://schemas.microsoft.com/office/drawing/2014/main" id="{CBF45E42-9734-2E29-65CE-E37CC0F2B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281940</xdr:colOff>
      <xdr:row>13</xdr:row>
      <xdr:rowOff>45720</xdr:rowOff>
    </xdr:from>
    <xdr:to>
      <xdr:col>17</xdr:col>
      <xdr:colOff>320040</xdr:colOff>
      <xdr:row>26</xdr:row>
      <xdr:rowOff>121920</xdr:rowOff>
    </xdr:to>
    <xdr:graphicFrame macro="">
      <xdr:nvGraphicFramePr>
        <xdr:cNvPr id="7" name="Chart 6">
          <a:extLst>
            <a:ext uri="{FF2B5EF4-FFF2-40B4-BE49-F238E27FC236}">
              <a16:creationId xmlns:a16="http://schemas.microsoft.com/office/drawing/2014/main" id="{BC031C88-C8F1-57DC-4231-B97C3F50C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312420</xdr:colOff>
      <xdr:row>13</xdr:row>
      <xdr:rowOff>121920</xdr:rowOff>
    </xdr:from>
    <xdr:to>
      <xdr:col>20</xdr:col>
      <xdr:colOff>312420</xdr:colOff>
      <xdr:row>27</xdr:row>
      <xdr:rowOff>28575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3FA1CF9-BE69-F6B4-28C1-6E9CB52C4F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675620" y="2499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251460</xdr:colOff>
      <xdr:row>0</xdr:row>
      <xdr:rowOff>0</xdr:rowOff>
    </xdr:from>
    <xdr:to>
      <xdr:col>23</xdr:col>
      <xdr:colOff>251460</xdr:colOff>
      <xdr:row>13</xdr:row>
      <xdr:rowOff>89535</xdr:rowOff>
    </xdr:to>
    <mc:AlternateContent xmlns:mc="http://schemas.openxmlformats.org/markup-compatibility/2006">
      <mc:Choice xmlns:a14="http://schemas.microsoft.com/office/drawing/2010/main" Requires="a14">
        <xdr:graphicFrame macro="">
          <xdr:nvGraphicFramePr>
            <xdr:cNvPr id="9" name="Country">
              <a:extLst>
                <a:ext uri="{FF2B5EF4-FFF2-40B4-BE49-F238E27FC236}">
                  <a16:creationId xmlns:a16="http://schemas.microsoft.com/office/drawing/2014/main" id="{D05979FF-41D2-A9AC-19BD-B5FBA19AAB5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44346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274320</xdr:colOff>
      <xdr:row>0</xdr:row>
      <xdr:rowOff>0</xdr:rowOff>
    </xdr:from>
    <xdr:to>
      <xdr:col>20</xdr:col>
      <xdr:colOff>274320</xdr:colOff>
      <xdr:row>13</xdr:row>
      <xdr:rowOff>89535</xdr:rowOff>
    </xdr:to>
    <mc:AlternateContent xmlns:mc="http://schemas.openxmlformats.org/markup-compatibility/2006">
      <mc:Choice xmlns:a14="http://schemas.microsoft.com/office/drawing/2010/main" Requires="a14">
        <xdr:graphicFrame macro="">
          <xdr:nvGraphicFramePr>
            <xdr:cNvPr id="10" name="Sales">
              <a:extLst>
                <a:ext uri="{FF2B5EF4-FFF2-40B4-BE49-F238E27FC236}">
                  <a16:creationId xmlns:a16="http://schemas.microsoft.com/office/drawing/2014/main" id="{6DDF7396-C116-BF90-AA24-0C8B8F0FBE4B}"/>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1063752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4.469023726851" createdVersion="8" refreshedVersion="8" minRefreshableVersion="3" recordCount="200" xr:uid="{D1AEB05E-83C0-4FF2-834D-CFDDA4869CFC}">
  <cacheSource type="worksheet">
    <worksheetSource name="Table1"/>
  </cacheSource>
  <cacheFields count="17">
    <cacheField name="Order ID" numFmtId="0">
      <sharedItems count="200">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haredItems>
    </cacheField>
    <cacheField name="Order Date" numFmtId="22">
      <sharedItems containsSemiMixedTypes="0" containsNonDate="0" containsDate="1" containsString="0" minDate="2024-01-01T00:00:00" maxDate="2024-12-30T00:00:00" count="157">
        <d v="2024-06-24T00:00:00"/>
        <d v="2024-07-15T00:00:00"/>
        <d v="2024-01-26T00:00:00"/>
        <d v="2024-03-08T00:00:00"/>
        <d v="2024-07-30T00:00:00"/>
        <d v="2024-04-13T00:00:00"/>
        <d v="2024-12-14T00:00:00"/>
        <d v="2024-07-04T00:00:00"/>
        <d v="2024-01-24T00:00:00"/>
        <d v="2024-03-13T00:00:00"/>
        <d v="2024-12-11T00:00:00"/>
        <d v="2024-02-12T00:00:00"/>
        <d v="2024-08-06T00:00:00"/>
        <d v="2024-06-16T00:00:00"/>
        <d v="2024-03-09T00:00:00"/>
        <d v="2024-01-01T00:00:00"/>
        <d v="2024-03-16T00:00:00"/>
        <d v="2024-11-07T00:00:00"/>
        <d v="2024-09-07T00:00:00"/>
        <d v="2024-01-07T00:00:00"/>
        <d v="2024-10-02T00:00:00"/>
        <d v="2024-02-14T00:00:00"/>
        <d v="2024-07-10T00:00:00"/>
        <d v="2024-11-21T00:00:00"/>
        <d v="2024-11-08T00:00:00"/>
        <d v="2024-06-01T00:00:00"/>
        <d v="2024-07-02T00:00:00"/>
        <d v="2024-04-22T00:00:00"/>
        <d v="2024-09-08T00:00:00"/>
        <d v="2024-07-08T00:00:00"/>
        <d v="2024-10-17T00:00:00"/>
        <d v="2024-07-20T00:00:00"/>
        <d v="2024-02-08T00:00:00"/>
        <d v="2024-09-17T00:00:00"/>
        <d v="2024-05-17T00:00:00"/>
        <d v="2024-12-09T00:00:00"/>
        <d v="2024-07-14T00:00:00"/>
        <d v="2024-12-05T00:00:00"/>
        <d v="2024-09-14T00:00:00"/>
        <d v="2024-07-11T00:00:00"/>
        <d v="2024-12-15T00:00:00"/>
        <d v="2024-04-02T00:00:00"/>
        <d v="2024-09-09T00:00:00"/>
        <d v="2024-03-12T00:00:00"/>
        <d v="2024-10-06T00:00:00"/>
        <d v="2024-01-11T00:00:00"/>
        <d v="2024-08-21T00:00:00"/>
        <d v="2024-10-18T00:00:00"/>
        <d v="2024-11-13T00:00:00"/>
        <d v="2024-05-31T00:00:00"/>
        <d v="2024-09-04T00:00:00"/>
        <d v="2024-08-12T00:00:00"/>
        <d v="2024-05-29T00:00:00"/>
        <d v="2024-12-22T00:00:00"/>
        <d v="2024-08-07T00:00:00"/>
        <d v="2024-01-20T00:00:00"/>
        <d v="2024-01-05T00:00:00"/>
        <d v="2024-02-03T00:00:00"/>
        <d v="2024-05-03T00:00:00"/>
        <d v="2024-10-13T00:00:00"/>
        <d v="2024-08-17T00:00:00"/>
        <d v="2024-11-25T00:00:00"/>
        <d v="2024-05-10T00:00:00"/>
        <d v="2024-03-24T00:00:00"/>
        <d v="2024-01-22T00:00:00"/>
        <d v="2024-04-29T00:00:00"/>
        <d v="2024-07-22T00:00:00"/>
        <d v="2024-02-17T00:00:00"/>
        <d v="2024-09-29T00:00:00"/>
        <d v="2024-01-13T00:00:00"/>
        <d v="2024-04-17T00:00:00"/>
        <d v="2024-11-28T00:00:00"/>
        <d v="2024-11-19T00:00:00"/>
        <d v="2024-04-20T00:00:00"/>
        <d v="2024-05-22T00:00:00"/>
        <d v="2024-05-04T00:00:00"/>
        <d v="2024-10-03T00:00:00"/>
        <d v="2024-11-05T00:00:00"/>
        <d v="2024-11-11T00:00:00"/>
        <d v="2024-02-05T00:00:00"/>
        <d v="2024-10-31T00:00:00"/>
        <d v="2024-10-26T00:00:00"/>
        <d v="2024-02-24T00:00:00"/>
        <d v="2024-02-13T00:00:00"/>
        <d v="2024-08-03T00:00:00"/>
        <d v="2024-02-09T00:00:00"/>
        <d v="2024-05-11T00:00:00"/>
        <d v="2024-12-01T00:00:00"/>
        <d v="2024-10-12T00:00:00"/>
        <d v="2024-05-16T00:00:00"/>
        <d v="2024-06-15T00:00:00"/>
        <d v="2024-07-17T00:00:00"/>
        <d v="2024-05-15T00:00:00"/>
        <d v="2024-07-28T00:00:00"/>
        <d v="2024-07-16T00:00:00"/>
        <d v="2024-04-10T00:00:00"/>
        <d v="2024-06-29T00:00:00"/>
        <d v="2024-06-18T00:00:00"/>
        <d v="2024-01-30T00:00:00"/>
        <d v="2024-10-09T00:00:00"/>
        <d v="2024-11-16T00:00:00"/>
        <d v="2024-07-09T00:00:00"/>
        <d v="2024-08-02T00:00:00"/>
        <d v="2024-08-14T00:00:00"/>
        <d v="2024-05-14T00:00:00"/>
        <d v="2024-04-16T00:00:00"/>
        <d v="2024-08-22T00:00:00"/>
        <d v="2024-01-18T00:00:00"/>
        <d v="2024-01-06T00:00:00"/>
        <d v="2024-02-19T00:00:00"/>
        <d v="2024-04-15T00:00:00"/>
        <d v="2024-07-01T00:00:00"/>
        <d v="2024-03-28T00:00:00"/>
        <d v="2024-03-17T00:00:00"/>
        <d v="2024-11-27T00:00:00"/>
        <d v="2024-09-19T00:00:00"/>
        <d v="2024-08-13T00:00:00"/>
        <d v="2024-03-26T00:00:00"/>
        <d v="2024-06-07T00:00:00"/>
        <d v="2024-12-29T00:00:00"/>
        <d v="2024-11-03T00:00:00"/>
        <d v="2024-05-01T00:00:00"/>
        <d v="2024-07-18T00:00:00"/>
        <d v="2024-07-05T00:00:00"/>
        <d v="2024-10-24T00:00:00"/>
        <d v="2024-08-18T00:00:00"/>
        <d v="2024-12-04T00:00:00"/>
        <d v="2024-03-04T00:00:00"/>
        <d v="2024-03-18T00:00:00"/>
        <d v="2024-10-15T00:00:00"/>
        <d v="2024-04-27T00:00:00"/>
        <d v="2024-06-10T00:00:00"/>
        <d v="2024-02-15T00:00:00"/>
        <d v="2024-04-26T00:00:00"/>
        <d v="2024-12-27T00:00:00"/>
        <d v="2024-12-18T00:00:00"/>
        <d v="2024-04-05T00:00:00"/>
        <d v="2024-09-22T00:00:00"/>
        <d v="2024-09-26T00:00:00"/>
        <d v="2024-12-07T00:00:00"/>
        <d v="2024-01-02T00:00:00"/>
        <d v="2024-10-14T00:00:00"/>
        <d v="2024-07-27T00:00:00"/>
        <d v="2024-02-18T00:00:00"/>
        <d v="2024-06-02T00:00:00"/>
        <d v="2024-09-12T00:00:00"/>
        <d v="2024-03-05T00:00:00"/>
        <d v="2024-11-10T00:00:00"/>
        <d v="2024-09-23T00:00:00"/>
        <d v="2024-01-28T00:00:00"/>
        <d v="2024-06-05T00:00:00"/>
        <d v="2024-01-09T00:00:00"/>
        <d v="2024-09-11T00:00:00"/>
        <d v="2024-11-06T00:00:00"/>
        <d v="2024-10-25T00:00:00"/>
        <d v="2024-01-08T00:00:00"/>
        <d v="2024-08-29T00:00:00"/>
      </sharedItems>
      <fieldGroup par="16"/>
    </cacheField>
    <cacheField name="Year" numFmtId="0">
      <sharedItems containsSemiMixedTypes="0" containsString="0" containsNumber="1" containsInteger="1" minValue="2024" maxValue="2024"/>
    </cacheField>
    <cacheField name="Month" numFmtId="0">
      <sharedItems count="12">
        <s v="June"/>
        <s v="July"/>
        <s v="January"/>
        <s v="March"/>
        <s v="April"/>
        <s v="December"/>
        <s v="February"/>
        <s v="August"/>
        <s v="November"/>
        <s v="September"/>
        <s v="October"/>
        <s v="May"/>
      </sharedItems>
    </cacheField>
    <cacheField name="Region" numFmtId="0">
      <sharedItems count="5">
        <s v="North"/>
        <s v="East"/>
        <s v="Central"/>
        <s v="South"/>
        <s v="West"/>
      </sharedItems>
    </cacheField>
    <cacheField name="Country" numFmtId="0">
      <sharedItems count="5">
        <s v="UK"/>
        <s v="India"/>
        <s v="Germany"/>
        <s v="Australia"/>
        <s v="USA"/>
      </sharedItems>
    </cacheField>
    <cacheField name="Category" numFmtId="0">
      <sharedItems count="3">
        <s v="Furniture"/>
        <s v="Office Supplies"/>
        <s v="Technology"/>
      </sharedItems>
    </cacheField>
    <cacheField name="Sub-Category" numFmtId="0">
      <sharedItems count="6">
        <s v="Storage"/>
        <s v="Tables"/>
        <s v="Chairs"/>
        <s v="Binders"/>
        <s v="Phones"/>
        <s v="Laptops"/>
      </sharedItems>
    </cacheField>
    <cacheField name="Customer Segment" numFmtId="0">
      <sharedItems count="3">
        <s v="Corporate"/>
        <s v="Home Office"/>
        <s v="Consumer"/>
      </sharedItems>
    </cacheField>
    <cacheField name="Sales" numFmtId="0">
      <sharedItems containsSemiMixedTypes="0" containsString="0" containsNumber="1" minValue="978.31" maxValue="39897.43" count="200">
        <n v="20012.71"/>
        <n v="32526.73"/>
        <n v="4927.51"/>
        <n v="38088.83"/>
        <n v="19018.79"/>
        <n v="13800.67"/>
        <n v="31318.959999999999"/>
        <n v="10853.73"/>
        <n v="6540.32"/>
        <n v="10918.37"/>
        <n v="27163.21"/>
        <n v="4746.18"/>
        <n v="18491.32"/>
        <n v="10033.93"/>
        <n v="22190.58"/>
        <n v="6220.59"/>
        <n v="31139.48"/>
        <n v="37017.370000000003"/>
        <n v="13318.88"/>
        <n v="14695.56"/>
        <n v="24244.94"/>
        <n v="29761.68"/>
        <n v="3084.33"/>
        <n v="27251.31"/>
        <n v="32718.53"/>
        <n v="31866.83"/>
        <n v="17993.169999999998"/>
        <n v="33052.6"/>
        <n v="22245.41"/>
        <n v="8119.62"/>
        <n v="12000.88"/>
        <n v="24035.25"/>
        <n v="22457.01"/>
        <n v="32245"/>
        <n v="28823.82"/>
        <n v="9151.9599999999991"/>
        <n v="16377.54"/>
        <n v="31300.51"/>
        <n v="18758.23"/>
        <n v="9621.19"/>
        <n v="37534.11"/>
        <n v="18403.759999999998"/>
        <n v="12902.1"/>
        <n v="20841.32"/>
        <n v="12596"/>
        <n v="11399.04"/>
        <n v="26732.05"/>
        <n v="31973.15"/>
        <n v="16826.2"/>
        <n v="7108.85"/>
        <n v="19451.18"/>
        <n v="16542.75"/>
        <n v="17879.88"/>
        <n v="10203.14"/>
        <n v="30968.22"/>
        <n v="8727.32"/>
        <n v="2314.94"/>
        <n v="28244.45"/>
        <n v="29906.04"/>
        <n v="10159.370000000001"/>
        <n v="7597.51"/>
        <n v="23556.83"/>
        <n v="36849.51"/>
        <n v="10756.15"/>
        <n v="21968.16"/>
        <n v="11163.63"/>
        <n v="29872.59"/>
        <n v="19110.18"/>
        <n v="15655.09"/>
        <n v="26520.71"/>
        <n v="21631.65"/>
        <n v="8685.0499999999993"/>
        <n v="17115.52"/>
        <n v="38294.550000000003"/>
        <n v="32204.5"/>
        <n v="20874.66"/>
        <n v="26690.16"/>
        <n v="6380.96"/>
        <n v="16997.18"/>
        <n v="35876.800000000003"/>
        <n v="8174.32"/>
        <n v="39291.32"/>
        <n v="34045.949999999997"/>
        <n v="27696.22"/>
        <n v="15446.07"/>
        <n v="4409.4399999999996"/>
        <n v="12351.61"/>
        <n v="29847.06"/>
        <n v="17327.560000000001"/>
        <n v="32273.13"/>
        <n v="9259.2199999999993"/>
        <n v="33090.85"/>
        <n v="34516.370000000003"/>
        <n v="29110.13"/>
        <n v="8797.35"/>
        <n v="9537.34"/>
        <n v="3320.34"/>
        <n v="2811.01"/>
        <n v="29771.53"/>
        <n v="20067.45"/>
        <n v="30651.24"/>
        <n v="11883.65"/>
        <n v="14334.46"/>
        <n v="35872.379999999997"/>
        <n v="39897.43"/>
        <n v="4788.83"/>
        <n v="31346.68"/>
        <n v="22601.02"/>
        <n v="978.31"/>
        <n v="24968.77"/>
        <n v="11773.18"/>
        <n v="14542.07"/>
        <n v="38795.730000000003"/>
        <n v="29912.97"/>
        <n v="2937.25"/>
        <n v="27494.25"/>
        <n v="1309.43"/>
        <n v="35538.800000000003"/>
        <n v="24189.95"/>
        <n v="25528.2"/>
        <n v="1444.79"/>
        <n v="4084.41"/>
        <n v="21425.19"/>
        <n v="15764"/>
        <n v="32877.18"/>
        <n v="11931.71"/>
        <n v="16466.89"/>
        <n v="5503.95"/>
        <n v="20512.54"/>
        <n v="38236.85"/>
        <n v="11223.16"/>
        <n v="31800.6"/>
        <n v="7227.08"/>
        <n v="35527.4"/>
        <n v="20895.22"/>
        <n v="5731.68"/>
        <n v="31481.71"/>
        <n v="35593.4"/>
        <n v="6486.4"/>
        <n v="5402.7"/>
        <n v="10654.43"/>
        <n v="20985.98"/>
        <n v="38044.33"/>
        <n v="34535.49"/>
        <n v="13525.34"/>
        <n v="2260.59"/>
        <n v="24151.75"/>
        <n v="23330.67"/>
        <n v="10268.280000000001"/>
        <n v="24459.58"/>
        <n v="39278.5"/>
        <n v="6459.97"/>
        <n v="13140.25"/>
        <n v="34039"/>
        <n v="7039.66"/>
        <n v="5847.74"/>
        <n v="7543.26"/>
        <n v="30972.14"/>
        <n v="5795.26"/>
        <n v="4372.08"/>
        <n v="25376.720000000001"/>
        <n v="30859.74"/>
        <n v="30448.78"/>
        <n v="17777.63"/>
        <n v="36730.730000000003"/>
        <n v="6714.31"/>
        <n v="18107.64"/>
        <n v="15276.06"/>
        <n v="22210.49"/>
        <n v="8375.8799999999992"/>
        <n v="6567.22"/>
        <n v="39347.65"/>
        <n v="12643.35"/>
        <n v="20388.310000000001"/>
        <n v="36717.72"/>
        <n v="12663.95"/>
        <n v="15170.56"/>
        <n v="22875.68"/>
        <n v="3468.05"/>
        <n v="1716.38"/>
        <n v="25604.14"/>
        <n v="15338.55"/>
        <n v="3916.45"/>
        <n v="12036.2"/>
        <n v="27983.49"/>
        <n v="30576.58"/>
        <n v="20611.53"/>
        <n v="9453.9500000000007"/>
        <n v="33708.239999999998"/>
        <n v="8941.57"/>
        <n v="30471.09"/>
        <n v="6806.38"/>
        <n v="37446.239999999998"/>
        <n v="31116.13"/>
        <n v="20448.599999999999"/>
        <n v="17819.509999999998"/>
        <n v="23260.65"/>
        <n v="26715.68"/>
        <n v="22669"/>
        <n v="28076.03"/>
      </sharedItems>
    </cacheField>
    <cacheField name="Quantity" numFmtId="0">
      <sharedItems containsSemiMixedTypes="0" containsString="0" containsNumber="1" containsInteger="1" minValue="1" maxValue="11"/>
    </cacheField>
    <cacheField name="Discount" numFmtId="0">
      <sharedItems containsSemiMixedTypes="0" containsString="0" containsNumber="1" minValue="0" maxValue="0.25"/>
    </cacheField>
    <cacheField name="Cost" numFmtId="0">
      <sharedItems containsSemiMixedTypes="0" containsString="0" containsNumber="1" minValue="591.79999999999995" maxValue="31008.22"/>
    </cacheField>
    <cacheField name="Profit" numFmtId="0">
      <sharedItems containsSemiMixedTypes="0" containsString="0" containsNumber="1" minValue="222.5" maxValue="16060.54"/>
    </cacheField>
    <cacheField name="Unit Price" numFmtId="0">
      <sharedItems containsSemiMixedTypes="0" containsString="0" containsNumber="1" minValue="131.34454545454545" maxValue="38795.730000000003"/>
    </cacheField>
    <cacheField name="Days (Order Date)" numFmtId="0" databaseField="0">
      <fieldGroup base="1">
        <rangePr groupBy="days" startDate="2024-01-01T00:00:00" endDate="2024-12-3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4"/>
        </groupItems>
      </fieldGroup>
    </cacheField>
    <cacheField name="Months (Order Date)" numFmtId="0" databaseField="0">
      <fieldGroup base="1">
        <rangePr groupBy="months" startDate="2024-01-01T00:00:00" endDate="2024-12-30T00:00:00"/>
        <groupItems count="14">
          <s v="&lt;01-01-2024"/>
          <s v="Jan"/>
          <s v="Feb"/>
          <s v="Mar"/>
          <s v="Apr"/>
          <s v="May"/>
          <s v="Jun"/>
          <s v="Jul"/>
          <s v="Aug"/>
          <s v="Sep"/>
          <s v="Oct"/>
          <s v="Nov"/>
          <s v="Dec"/>
          <s v="&gt;30-12-2024"/>
        </groupItems>
      </fieldGroup>
    </cacheField>
  </cacheFields>
  <extLst>
    <ext xmlns:x14="http://schemas.microsoft.com/office/spreadsheetml/2009/9/main" uri="{725AE2AE-9491-48be-B2B4-4EB974FC3084}">
      <x14:pivotCacheDefinition pivotCacheId="1089644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2024"/>
    <x v="0"/>
    <x v="0"/>
    <x v="0"/>
    <x v="0"/>
    <x v="0"/>
    <x v="0"/>
    <x v="0"/>
    <n v="6"/>
    <n v="0.05"/>
    <n v="15106.38"/>
    <n v="4906.33"/>
    <n v="3335.4516666666664"/>
  </r>
  <r>
    <x v="1"/>
    <x v="1"/>
    <n v="2024"/>
    <x v="1"/>
    <x v="1"/>
    <x v="1"/>
    <x v="0"/>
    <x v="0"/>
    <x v="1"/>
    <x v="1"/>
    <n v="6"/>
    <n v="0.17"/>
    <n v="23572.63"/>
    <n v="8954.1"/>
    <n v="5421.1216666666669"/>
  </r>
  <r>
    <x v="2"/>
    <x v="2"/>
    <n v="2024"/>
    <x v="2"/>
    <x v="2"/>
    <x v="1"/>
    <x v="1"/>
    <x v="1"/>
    <x v="1"/>
    <x v="2"/>
    <n v="1"/>
    <n v="0.12"/>
    <n v="4078.38"/>
    <n v="849.13"/>
    <n v="4927.51"/>
  </r>
  <r>
    <x v="3"/>
    <x v="3"/>
    <n v="2024"/>
    <x v="3"/>
    <x v="0"/>
    <x v="0"/>
    <x v="0"/>
    <x v="1"/>
    <x v="0"/>
    <x v="3"/>
    <n v="2"/>
    <n v="0.23"/>
    <n v="27212.31"/>
    <n v="10876.52"/>
    <n v="19044.415000000001"/>
  </r>
  <r>
    <x v="4"/>
    <x v="4"/>
    <n v="2024"/>
    <x v="1"/>
    <x v="0"/>
    <x v="2"/>
    <x v="2"/>
    <x v="0"/>
    <x v="1"/>
    <x v="4"/>
    <n v="2"/>
    <n v="0.22"/>
    <n v="15518.61"/>
    <n v="3500.18"/>
    <n v="9509.3950000000004"/>
  </r>
  <r>
    <x v="5"/>
    <x v="5"/>
    <n v="2024"/>
    <x v="4"/>
    <x v="2"/>
    <x v="3"/>
    <x v="1"/>
    <x v="2"/>
    <x v="1"/>
    <x v="5"/>
    <n v="6"/>
    <n v="0.09"/>
    <n v="9746.4599999999991"/>
    <n v="4054.21"/>
    <n v="2300.1116666666667"/>
  </r>
  <r>
    <x v="6"/>
    <x v="6"/>
    <n v="2024"/>
    <x v="5"/>
    <x v="3"/>
    <x v="4"/>
    <x v="0"/>
    <x v="2"/>
    <x v="0"/>
    <x v="6"/>
    <n v="9"/>
    <n v="0.1"/>
    <n v="24472.12"/>
    <n v="6846.84"/>
    <n v="3479.8844444444444"/>
  </r>
  <r>
    <x v="7"/>
    <x v="7"/>
    <n v="2024"/>
    <x v="1"/>
    <x v="0"/>
    <x v="2"/>
    <x v="2"/>
    <x v="1"/>
    <x v="0"/>
    <x v="7"/>
    <n v="10"/>
    <n v="0.23"/>
    <n v="8411.58"/>
    <n v="2442.15"/>
    <n v="1085.373"/>
  </r>
  <r>
    <x v="8"/>
    <x v="8"/>
    <n v="2024"/>
    <x v="2"/>
    <x v="1"/>
    <x v="1"/>
    <x v="0"/>
    <x v="1"/>
    <x v="1"/>
    <x v="8"/>
    <n v="3"/>
    <n v="0.24"/>
    <n v="5549.91"/>
    <n v="990.41"/>
    <n v="2180.1066666666666"/>
  </r>
  <r>
    <x v="9"/>
    <x v="9"/>
    <n v="2024"/>
    <x v="3"/>
    <x v="0"/>
    <x v="3"/>
    <x v="1"/>
    <x v="3"/>
    <x v="1"/>
    <x v="9"/>
    <n v="4"/>
    <n v="0.2"/>
    <n v="6613.21"/>
    <n v="4305.16"/>
    <n v="2729.5925000000002"/>
  </r>
  <r>
    <x v="10"/>
    <x v="10"/>
    <n v="2024"/>
    <x v="5"/>
    <x v="4"/>
    <x v="3"/>
    <x v="2"/>
    <x v="2"/>
    <x v="1"/>
    <x v="10"/>
    <n v="10"/>
    <n v="0.02"/>
    <n v="17088.96"/>
    <n v="10074.25"/>
    <n v="2716.3209999999999"/>
  </r>
  <r>
    <x v="11"/>
    <x v="11"/>
    <n v="2024"/>
    <x v="6"/>
    <x v="0"/>
    <x v="2"/>
    <x v="2"/>
    <x v="4"/>
    <x v="1"/>
    <x v="11"/>
    <n v="11"/>
    <n v="0.01"/>
    <n v="3260.06"/>
    <n v="1486.12"/>
    <n v="431.47090909090912"/>
  </r>
  <r>
    <x v="12"/>
    <x v="12"/>
    <n v="2024"/>
    <x v="7"/>
    <x v="3"/>
    <x v="2"/>
    <x v="0"/>
    <x v="4"/>
    <x v="1"/>
    <x v="12"/>
    <n v="9"/>
    <n v="0.15"/>
    <n v="14371.46"/>
    <n v="4119.8599999999997"/>
    <n v="2054.5911111111109"/>
  </r>
  <r>
    <x v="13"/>
    <x v="13"/>
    <n v="2024"/>
    <x v="0"/>
    <x v="4"/>
    <x v="1"/>
    <x v="1"/>
    <x v="1"/>
    <x v="2"/>
    <x v="13"/>
    <n v="1"/>
    <n v="0.19"/>
    <n v="5696.45"/>
    <n v="4337.4799999999996"/>
    <n v="10033.93"/>
  </r>
  <r>
    <x v="14"/>
    <x v="14"/>
    <n v="2024"/>
    <x v="3"/>
    <x v="1"/>
    <x v="2"/>
    <x v="2"/>
    <x v="5"/>
    <x v="2"/>
    <x v="14"/>
    <n v="6"/>
    <n v="0.18"/>
    <n v="14384.24"/>
    <n v="7806.34"/>
    <n v="3698.4300000000003"/>
  </r>
  <r>
    <x v="15"/>
    <x v="15"/>
    <n v="2024"/>
    <x v="2"/>
    <x v="0"/>
    <x v="3"/>
    <x v="1"/>
    <x v="4"/>
    <x v="2"/>
    <x v="15"/>
    <n v="11"/>
    <n v="0.2"/>
    <n v="5015.54"/>
    <n v="1205.05"/>
    <n v="565.50818181818181"/>
  </r>
  <r>
    <x v="16"/>
    <x v="16"/>
    <n v="2024"/>
    <x v="3"/>
    <x v="0"/>
    <x v="3"/>
    <x v="0"/>
    <x v="5"/>
    <x v="1"/>
    <x v="16"/>
    <n v="5"/>
    <n v="0.04"/>
    <n v="21774.79"/>
    <n v="9364.69"/>
    <n v="6227.8959999999997"/>
  </r>
  <r>
    <x v="17"/>
    <x v="17"/>
    <n v="2024"/>
    <x v="8"/>
    <x v="2"/>
    <x v="0"/>
    <x v="0"/>
    <x v="0"/>
    <x v="2"/>
    <x v="17"/>
    <n v="1"/>
    <n v="0"/>
    <n v="24882.43"/>
    <n v="12134.94"/>
    <n v="37017.370000000003"/>
  </r>
  <r>
    <x v="18"/>
    <x v="18"/>
    <n v="2024"/>
    <x v="9"/>
    <x v="2"/>
    <x v="4"/>
    <x v="0"/>
    <x v="0"/>
    <x v="1"/>
    <x v="18"/>
    <n v="3"/>
    <n v="0.14000000000000001"/>
    <n v="11298.67"/>
    <n v="2020.21"/>
    <n v="4439.6266666666661"/>
  </r>
  <r>
    <x v="19"/>
    <x v="19"/>
    <n v="2024"/>
    <x v="2"/>
    <x v="4"/>
    <x v="0"/>
    <x v="0"/>
    <x v="4"/>
    <x v="0"/>
    <x v="19"/>
    <n v="3"/>
    <n v="0.22"/>
    <n v="12235.62"/>
    <n v="2459.94"/>
    <n v="4898.5199999999995"/>
  </r>
  <r>
    <x v="20"/>
    <x v="20"/>
    <n v="2024"/>
    <x v="10"/>
    <x v="3"/>
    <x v="0"/>
    <x v="2"/>
    <x v="2"/>
    <x v="2"/>
    <x v="20"/>
    <n v="9"/>
    <n v="0.06"/>
    <n v="17024.38"/>
    <n v="7220.56"/>
    <n v="2693.882222222222"/>
  </r>
  <r>
    <x v="21"/>
    <x v="21"/>
    <n v="2024"/>
    <x v="6"/>
    <x v="1"/>
    <x v="1"/>
    <x v="0"/>
    <x v="2"/>
    <x v="0"/>
    <x v="21"/>
    <n v="10"/>
    <n v="0.05"/>
    <n v="16801.98"/>
    <n v="12959.7"/>
    <n v="2976.1680000000001"/>
  </r>
  <r>
    <x v="22"/>
    <x v="22"/>
    <n v="2024"/>
    <x v="1"/>
    <x v="2"/>
    <x v="0"/>
    <x v="1"/>
    <x v="5"/>
    <x v="2"/>
    <x v="22"/>
    <n v="4"/>
    <n v="0.22"/>
    <n v="2000.65"/>
    <n v="1083.68"/>
    <n v="771.08249999999998"/>
  </r>
  <r>
    <x v="23"/>
    <x v="23"/>
    <n v="2024"/>
    <x v="8"/>
    <x v="0"/>
    <x v="4"/>
    <x v="1"/>
    <x v="2"/>
    <x v="2"/>
    <x v="23"/>
    <n v="10"/>
    <n v="0.09"/>
    <n v="22616.54"/>
    <n v="4634.7700000000004"/>
    <n v="2725.1310000000003"/>
  </r>
  <r>
    <x v="24"/>
    <x v="24"/>
    <n v="2024"/>
    <x v="8"/>
    <x v="2"/>
    <x v="1"/>
    <x v="2"/>
    <x v="0"/>
    <x v="1"/>
    <x v="24"/>
    <n v="7"/>
    <n v="0.09"/>
    <n v="20796.439999999999"/>
    <n v="11922.09"/>
    <n v="4674.0757142857137"/>
  </r>
  <r>
    <x v="25"/>
    <x v="25"/>
    <n v="2024"/>
    <x v="0"/>
    <x v="1"/>
    <x v="1"/>
    <x v="0"/>
    <x v="5"/>
    <x v="0"/>
    <x v="25"/>
    <n v="1"/>
    <n v="0.15"/>
    <n v="25409.8"/>
    <n v="6457.03"/>
    <n v="31866.83"/>
  </r>
  <r>
    <x v="26"/>
    <x v="26"/>
    <n v="2024"/>
    <x v="1"/>
    <x v="1"/>
    <x v="3"/>
    <x v="2"/>
    <x v="1"/>
    <x v="1"/>
    <x v="26"/>
    <n v="1"/>
    <n v="7.0000000000000007E-2"/>
    <n v="11948.81"/>
    <n v="6044.36"/>
    <n v="17993.169999999998"/>
  </r>
  <r>
    <x v="27"/>
    <x v="27"/>
    <n v="2024"/>
    <x v="4"/>
    <x v="0"/>
    <x v="2"/>
    <x v="0"/>
    <x v="4"/>
    <x v="2"/>
    <x v="27"/>
    <n v="10"/>
    <n v="0.23"/>
    <n v="24651.86"/>
    <n v="8400.74"/>
    <n v="3305.2599999999998"/>
  </r>
  <r>
    <x v="28"/>
    <x v="28"/>
    <n v="2024"/>
    <x v="9"/>
    <x v="4"/>
    <x v="1"/>
    <x v="1"/>
    <x v="5"/>
    <x v="0"/>
    <x v="28"/>
    <n v="10"/>
    <n v="0.05"/>
    <n v="14506.28"/>
    <n v="7739.13"/>
    <n v="2224.5410000000002"/>
  </r>
  <r>
    <x v="29"/>
    <x v="29"/>
    <n v="2024"/>
    <x v="1"/>
    <x v="3"/>
    <x v="3"/>
    <x v="2"/>
    <x v="4"/>
    <x v="0"/>
    <x v="29"/>
    <n v="1"/>
    <n v="0.01"/>
    <n v="4688.53"/>
    <n v="3431.09"/>
    <n v="8119.62"/>
  </r>
  <r>
    <x v="30"/>
    <x v="30"/>
    <n v="2024"/>
    <x v="10"/>
    <x v="0"/>
    <x v="3"/>
    <x v="0"/>
    <x v="4"/>
    <x v="2"/>
    <x v="30"/>
    <n v="6"/>
    <n v="0.11"/>
    <n v="7087.45"/>
    <n v="4913.43"/>
    <n v="2000.1466666666665"/>
  </r>
  <r>
    <x v="31"/>
    <x v="24"/>
    <n v="2024"/>
    <x v="8"/>
    <x v="4"/>
    <x v="3"/>
    <x v="2"/>
    <x v="4"/>
    <x v="0"/>
    <x v="31"/>
    <n v="11"/>
    <n v="0.15"/>
    <n v="18116.22"/>
    <n v="5919.03"/>
    <n v="2185.0227272727275"/>
  </r>
  <r>
    <x v="32"/>
    <x v="31"/>
    <n v="2024"/>
    <x v="1"/>
    <x v="3"/>
    <x v="1"/>
    <x v="2"/>
    <x v="1"/>
    <x v="1"/>
    <x v="32"/>
    <n v="7"/>
    <n v="7.0000000000000007E-2"/>
    <n v="15249.75"/>
    <n v="7207.26"/>
    <n v="3208.1442857142856"/>
  </r>
  <r>
    <x v="33"/>
    <x v="32"/>
    <n v="2024"/>
    <x v="6"/>
    <x v="1"/>
    <x v="1"/>
    <x v="0"/>
    <x v="4"/>
    <x v="2"/>
    <x v="33"/>
    <n v="4"/>
    <n v="0.19"/>
    <n v="21216.16"/>
    <n v="11028.84"/>
    <n v="8061.25"/>
  </r>
  <r>
    <x v="34"/>
    <x v="33"/>
    <n v="2024"/>
    <x v="9"/>
    <x v="0"/>
    <x v="0"/>
    <x v="2"/>
    <x v="1"/>
    <x v="1"/>
    <x v="34"/>
    <n v="6"/>
    <n v="0.02"/>
    <n v="22649.79"/>
    <n v="6174.03"/>
    <n v="4803.97"/>
  </r>
  <r>
    <x v="35"/>
    <x v="34"/>
    <n v="2024"/>
    <x v="11"/>
    <x v="3"/>
    <x v="2"/>
    <x v="2"/>
    <x v="4"/>
    <x v="0"/>
    <x v="35"/>
    <n v="3"/>
    <n v="0.08"/>
    <n v="6459.57"/>
    <n v="2692.39"/>
    <n v="3050.6533333333332"/>
  </r>
  <r>
    <x v="36"/>
    <x v="35"/>
    <n v="2024"/>
    <x v="5"/>
    <x v="4"/>
    <x v="1"/>
    <x v="2"/>
    <x v="0"/>
    <x v="0"/>
    <x v="36"/>
    <n v="10"/>
    <n v="0.11"/>
    <n v="11306.24"/>
    <n v="5071.3"/>
    <n v="1637.7540000000001"/>
  </r>
  <r>
    <x v="37"/>
    <x v="36"/>
    <n v="2024"/>
    <x v="1"/>
    <x v="4"/>
    <x v="3"/>
    <x v="1"/>
    <x v="0"/>
    <x v="0"/>
    <x v="37"/>
    <n v="4"/>
    <n v="0.24"/>
    <n v="25571.35"/>
    <n v="5729.16"/>
    <n v="7825.1274999999996"/>
  </r>
  <r>
    <x v="38"/>
    <x v="9"/>
    <n v="2024"/>
    <x v="3"/>
    <x v="2"/>
    <x v="2"/>
    <x v="1"/>
    <x v="4"/>
    <x v="1"/>
    <x v="38"/>
    <n v="5"/>
    <n v="0.03"/>
    <n v="12412.27"/>
    <n v="6345.96"/>
    <n v="3751.6459999999997"/>
  </r>
  <r>
    <x v="39"/>
    <x v="37"/>
    <n v="2024"/>
    <x v="5"/>
    <x v="4"/>
    <x v="0"/>
    <x v="2"/>
    <x v="0"/>
    <x v="1"/>
    <x v="39"/>
    <n v="6"/>
    <n v="0.04"/>
    <n v="7224.21"/>
    <n v="2396.98"/>
    <n v="1603.5316666666668"/>
  </r>
  <r>
    <x v="40"/>
    <x v="38"/>
    <n v="2024"/>
    <x v="9"/>
    <x v="3"/>
    <x v="3"/>
    <x v="1"/>
    <x v="2"/>
    <x v="2"/>
    <x v="40"/>
    <n v="1"/>
    <n v="0.05"/>
    <n v="21732.18"/>
    <n v="15801.93"/>
    <n v="37534.11"/>
  </r>
  <r>
    <x v="41"/>
    <x v="39"/>
    <n v="2024"/>
    <x v="1"/>
    <x v="2"/>
    <x v="4"/>
    <x v="2"/>
    <x v="3"/>
    <x v="0"/>
    <x v="41"/>
    <n v="6"/>
    <n v="0.19"/>
    <n v="12801.22"/>
    <n v="5602.54"/>
    <n v="3067.2933333333331"/>
  </r>
  <r>
    <x v="42"/>
    <x v="40"/>
    <n v="2024"/>
    <x v="5"/>
    <x v="4"/>
    <x v="4"/>
    <x v="2"/>
    <x v="2"/>
    <x v="0"/>
    <x v="42"/>
    <n v="8"/>
    <n v="7.0000000000000007E-2"/>
    <n v="8553.74"/>
    <n v="4348.3599999999997"/>
    <n v="1612.7625"/>
  </r>
  <r>
    <x v="43"/>
    <x v="41"/>
    <n v="2024"/>
    <x v="4"/>
    <x v="2"/>
    <x v="3"/>
    <x v="2"/>
    <x v="2"/>
    <x v="0"/>
    <x v="43"/>
    <n v="6"/>
    <n v="0.08"/>
    <n v="13777.95"/>
    <n v="7063.37"/>
    <n v="3473.5533333333333"/>
  </r>
  <r>
    <x v="44"/>
    <x v="42"/>
    <n v="2024"/>
    <x v="9"/>
    <x v="0"/>
    <x v="4"/>
    <x v="1"/>
    <x v="2"/>
    <x v="1"/>
    <x v="44"/>
    <n v="7"/>
    <n v="0.14000000000000001"/>
    <n v="10471.290000000001"/>
    <n v="2124.71"/>
    <n v="1799.4285714285713"/>
  </r>
  <r>
    <x v="45"/>
    <x v="43"/>
    <n v="2024"/>
    <x v="3"/>
    <x v="3"/>
    <x v="4"/>
    <x v="2"/>
    <x v="1"/>
    <x v="0"/>
    <x v="45"/>
    <n v="8"/>
    <n v="0.1"/>
    <n v="8663.89"/>
    <n v="2735.15"/>
    <n v="1424.88"/>
  </r>
  <r>
    <x v="46"/>
    <x v="44"/>
    <n v="2024"/>
    <x v="10"/>
    <x v="1"/>
    <x v="0"/>
    <x v="2"/>
    <x v="1"/>
    <x v="0"/>
    <x v="46"/>
    <n v="6"/>
    <n v="0.15"/>
    <n v="15217.58"/>
    <n v="11514.47"/>
    <n v="4455.3416666666662"/>
  </r>
  <r>
    <x v="47"/>
    <x v="45"/>
    <n v="2024"/>
    <x v="2"/>
    <x v="1"/>
    <x v="2"/>
    <x v="1"/>
    <x v="4"/>
    <x v="2"/>
    <x v="47"/>
    <n v="4"/>
    <n v="0.13"/>
    <n v="25648.49"/>
    <n v="6324.66"/>
    <n v="7993.2875000000004"/>
  </r>
  <r>
    <x v="48"/>
    <x v="46"/>
    <n v="2024"/>
    <x v="7"/>
    <x v="0"/>
    <x v="1"/>
    <x v="1"/>
    <x v="2"/>
    <x v="2"/>
    <x v="48"/>
    <n v="4"/>
    <n v="0.18"/>
    <n v="13591.84"/>
    <n v="3234.36"/>
    <n v="4206.55"/>
  </r>
  <r>
    <x v="49"/>
    <x v="47"/>
    <n v="2024"/>
    <x v="10"/>
    <x v="2"/>
    <x v="4"/>
    <x v="1"/>
    <x v="1"/>
    <x v="1"/>
    <x v="49"/>
    <n v="10"/>
    <n v="0.25"/>
    <n v="4080.36"/>
    <n v="3028.49"/>
    <n v="710.88499999999999"/>
  </r>
  <r>
    <x v="50"/>
    <x v="48"/>
    <n v="2024"/>
    <x v="8"/>
    <x v="4"/>
    <x v="3"/>
    <x v="1"/>
    <x v="5"/>
    <x v="2"/>
    <x v="50"/>
    <n v="11"/>
    <n v="0.09"/>
    <n v="13054.03"/>
    <n v="6397.15"/>
    <n v="1768.2890909090909"/>
  </r>
  <r>
    <x v="51"/>
    <x v="49"/>
    <n v="2024"/>
    <x v="11"/>
    <x v="3"/>
    <x v="1"/>
    <x v="0"/>
    <x v="4"/>
    <x v="1"/>
    <x v="51"/>
    <n v="7"/>
    <n v="0.05"/>
    <n v="9884.32"/>
    <n v="6658.43"/>
    <n v="2363.25"/>
  </r>
  <r>
    <x v="52"/>
    <x v="41"/>
    <n v="2024"/>
    <x v="4"/>
    <x v="0"/>
    <x v="0"/>
    <x v="2"/>
    <x v="1"/>
    <x v="2"/>
    <x v="52"/>
    <n v="10"/>
    <n v="0.04"/>
    <n v="11687.07"/>
    <n v="6192.81"/>
    <n v="1787.9880000000001"/>
  </r>
  <r>
    <x v="53"/>
    <x v="50"/>
    <n v="2024"/>
    <x v="9"/>
    <x v="2"/>
    <x v="0"/>
    <x v="1"/>
    <x v="4"/>
    <x v="2"/>
    <x v="53"/>
    <n v="5"/>
    <n v="0.1"/>
    <n v="5613.71"/>
    <n v="4589.43"/>
    <n v="2040.6279999999999"/>
  </r>
  <r>
    <x v="54"/>
    <x v="51"/>
    <n v="2024"/>
    <x v="7"/>
    <x v="3"/>
    <x v="2"/>
    <x v="0"/>
    <x v="4"/>
    <x v="2"/>
    <x v="54"/>
    <n v="8"/>
    <n v="0.23"/>
    <n v="22751.18"/>
    <n v="8217.0400000000009"/>
    <n v="3871.0275000000001"/>
  </r>
  <r>
    <x v="55"/>
    <x v="52"/>
    <n v="2024"/>
    <x v="11"/>
    <x v="0"/>
    <x v="4"/>
    <x v="0"/>
    <x v="2"/>
    <x v="2"/>
    <x v="55"/>
    <n v="3"/>
    <n v="0.05"/>
    <n v="5351.07"/>
    <n v="3376.25"/>
    <n v="2909.1066666666666"/>
  </r>
  <r>
    <x v="56"/>
    <x v="53"/>
    <n v="2024"/>
    <x v="5"/>
    <x v="1"/>
    <x v="1"/>
    <x v="2"/>
    <x v="5"/>
    <x v="0"/>
    <x v="56"/>
    <n v="8"/>
    <n v="0.09"/>
    <n v="1843.25"/>
    <n v="471.69"/>
    <n v="289.36750000000001"/>
  </r>
  <r>
    <x v="57"/>
    <x v="3"/>
    <n v="2024"/>
    <x v="3"/>
    <x v="2"/>
    <x v="1"/>
    <x v="2"/>
    <x v="3"/>
    <x v="0"/>
    <x v="57"/>
    <n v="9"/>
    <n v="0.22"/>
    <n v="23621.32"/>
    <n v="4623.13"/>
    <n v="3138.2722222222224"/>
  </r>
  <r>
    <x v="58"/>
    <x v="54"/>
    <n v="2024"/>
    <x v="7"/>
    <x v="2"/>
    <x v="3"/>
    <x v="0"/>
    <x v="1"/>
    <x v="0"/>
    <x v="58"/>
    <n v="1"/>
    <n v="0.22"/>
    <n v="18659.68"/>
    <n v="11246.36"/>
    <n v="29906.04"/>
  </r>
  <r>
    <x v="59"/>
    <x v="55"/>
    <n v="2024"/>
    <x v="2"/>
    <x v="2"/>
    <x v="1"/>
    <x v="0"/>
    <x v="0"/>
    <x v="0"/>
    <x v="59"/>
    <n v="11"/>
    <n v="0.15"/>
    <n v="8470.9699999999993"/>
    <n v="1688.4"/>
    <n v="923.57909090909095"/>
  </r>
  <r>
    <x v="60"/>
    <x v="56"/>
    <n v="2024"/>
    <x v="2"/>
    <x v="2"/>
    <x v="0"/>
    <x v="0"/>
    <x v="2"/>
    <x v="2"/>
    <x v="60"/>
    <n v="3"/>
    <n v="0.19"/>
    <n v="5790.12"/>
    <n v="1807.39"/>
    <n v="2532.5033333333336"/>
  </r>
  <r>
    <x v="61"/>
    <x v="20"/>
    <n v="2024"/>
    <x v="10"/>
    <x v="4"/>
    <x v="4"/>
    <x v="1"/>
    <x v="5"/>
    <x v="0"/>
    <x v="61"/>
    <n v="9"/>
    <n v="0.22"/>
    <n v="18552.82"/>
    <n v="5004.01"/>
    <n v="2617.4255555555555"/>
  </r>
  <r>
    <x v="62"/>
    <x v="57"/>
    <n v="2024"/>
    <x v="6"/>
    <x v="3"/>
    <x v="4"/>
    <x v="1"/>
    <x v="2"/>
    <x v="0"/>
    <x v="62"/>
    <n v="3"/>
    <n v="0.02"/>
    <n v="27203.08"/>
    <n v="9646.43"/>
    <n v="12283.17"/>
  </r>
  <r>
    <x v="63"/>
    <x v="58"/>
    <n v="2024"/>
    <x v="11"/>
    <x v="1"/>
    <x v="0"/>
    <x v="0"/>
    <x v="1"/>
    <x v="2"/>
    <x v="63"/>
    <n v="3"/>
    <n v="0.1"/>
    <n v="8141.96"/>
    <n v="2614.19"/>
    <n v="3585.3833333333332"/>
  </r>
  <r>
    <x v="64"/>
    <x v="59"/>
    <n v="2024"/>
    <x v="10"/>
    <x v="0"/>
    <x v="0"/>
    <x v="1"/>
    <x v="2"/>
    <x v="1"/>
    <x v="64"/>
    <n v="1"/>
    <n v="0.23"/>
    <n v="16073.03"/>
    <n v="5895.13"/>
    <n v="21968.16"/>
  </r>
  <r>
    <x v="65"/>
    <x v="7"/>
    <n v="2024"/>
    <x v="1"/>
    <x v="1"/>
    <x v="1"/>
    <x v="2"/>
    <x v="3"/>
    <x v="2"/>
    <x v="65"/>
    <n v="8"/>
    <n v="0.13"/>
    <n v="8460.58"/>
    <n v="2703.05"/>
    <n v="1395.4537499999999"/>
  </r>
  <r>
    <x v="66"/>
    <x v="60"/>
    <n v="2024"/>
    <x v="7"/>
    <x v="3"/>
    <x v="3"/>
    <x v="0"/>
    <x v="3"/>
    <x v="2"/>
    <x v="66"/>
    <n v="8"/>
    <n v="0.05"/>
    <n v="18037.88"/>
    <n v="11834.71"/>
    <n v="3734.07375"/>
  </r>
  <r>
    <x v="67"/>
    <x v="61"/>
    <n v="2024"/>
    <x v="8"/>
    <x v="1"/>
    <x v="4"/>
    <x v="0"/>
    <x v="2"/>
    <x v="1"/>
    <x v="67"/>
    <n v="4"/>
    <n v="0.12"/>
    <n v="13754.28"/>
    <n v="5355.9"/>
    <n v="4777.5450000000001"/>
  </r>
  <r>
    <x v="68"/>
    <x v="62"/>
    <n v="2024"/>
    <x v="11"/>
    <x v="0"/>
    <x v="0"/>
    <x v="2"/>
    <x v="0"/>
    <x v="0"/>
    <x v="68"/>
    <n v="6"/>
    <n v="0.2"/>
    <n v="10527.31"/>
    <n v="5127.78"/>
    <n v="2609.1816666666668"/>
  </r>
  <r>
    <x v="69"/>
    <x v="63"/>
    <n v="2024"/>
    <x v="3"/>
    <x v="1"/>
    <x v="0"/>
    <x v="1"/>
    <x v="4"/>
    <x v="0"/>
    <x v="69"/>
    <n v="11"/>
    <n v="0.24"/>
    <n v="14648.13"/>
    <n v="11872.58"/>
    <n v="2410.9736363636362"/>
  </r>
  <r>
    <x v="70"/>
    <x v="64"/>
    <n v="2024"/>
    <x v="2"/>
    <x v="2"/>
    <x v="3"/>
    <x v="1"/>
    <x v="3"/>
    <x v="2"/>
    <x v="70"/>
    <n v="2"/>
    <n v="0.21"/>
    <n v="15498.97"/>
    <n v="6132.68"/>
    <n v="10815.825000000001"/>
  </r>
  <r>
    <x v="71"/>
    <x v="65"/>
    <n v="2024"/>
    <x v="4"/>
    <x v="1"/>
    <x v="3"/>
    <x v="0"/>
    <x v="3"/>
    <x v="0"/>
    <x v="71"/>
    <n v="3"/>
    <n v="0.13"/>
    <n v="6897.54"/>
    <n v="1787.51"/>
    <n v="2895.0166666666664"/>
  </r>
  <r>
    <x v="72"/>
    <x v="3"/>
    <n v="2024"/>
    <x v="3"/>
    <x v="2"/>
    <x v="3"/>
    <x v="2"/>
    <x v="5"/>
    <x v="2"/>
    <x v="72"/>
    <n v="2"/>
    <n v="0.17"/>
    <n v="9765.33"/>
    <n v="7350.19"/>
    <n v="8557.76"/>
  </r>
  <r>
    <x v="73"/>
    <x v="66"/>
    <n v="2024"/>
    <x v="1"/>
    <x v="0"/>
    <x v="2"/>
    <x v="0"/>
    <x v="5"/>
    <x v="2"/>
    <x v="73"/>
    <n v="2"/>
    <n v="0.03"/>
    <n v="24985.72"/>
    <n v="13308.83"/>
    <n v="19147.275000000001"/>
  </r>
  <r>
    <x v="74"/>
    <x v="67"/>
    <n v="2024"/>
    <x v="6"/>
    <x v="4"/>
    <x v="4"/>
    <x v="1"/>
    <x v="3"/>
    <x v="0"/>
    <x v="74"/>
    <n v="5"/>
    <n v="0.24"/>
    <n v="25574.07"/>
    <n v="6630.43"/>
    <n v="6440.9"/>
  </r>
  <r>
    <x v="75"/>
    <x v="68"/>
    <n v="2024"/>
    <x v="9"/>
    <x v="4"/>
    <x v="4"/>
    <x v="1"/>
    <x v="1"/>
    <x v="0"/>
    <x v="75"/>
    <n v="10"/>
    <n v="0.16"/>
    <n v="12565.75"/>
    <n v="8308.91"/>
    <n v="2087.4659999999999"/>
  </r>
  <r>
    <x v="76"/>
    <x v="69"/>
    <n v="2024"/>
    <x v="2"/>
    <x v="0"/>
    <x v="1"/>
    <x v="0"/>
    <x v="0"/>
    <x v="0"/>
    <x v="76"/>
    <n v="10"/>
    <n v="0"/>
    <n v="19967.21"/>
    <n v="6722.95"/>
    <n v="2669.0160000000001"/>
  </r>
  <r>
    <x v="77"/>
    <x v="40"/>
    <n v="2024"/>
    <x v="5"/>
    <x v="2"/>
    <x v="4"/>
    <x v="1"/>
    <x v="1"/>
    <x v="2"/>
    <x v="77"/>
    <n v="6"/>
    <n v="0.22"/>
    <n v="5001.17"/>
    <n v="1379.79"/>
    <n v="1063.4933333333333"/>
  </r>
  <r>
    <x v="78"/>
    <x v="70"/>
    <n v="2024"/>
    <x v="4"/>
    <x v="0"/>
    <x v="1"/>
    <x v="2"/>
    <x v="3"/>
    <x v="0"/>
    <x v="78"/>
    <n v="4"/>
    <n v="0.03"/>
    <n v="11085.73"/>
    <n v="5911.45"/>
    <n v="4249.2950000000001"/>
  </r>
  <r>
    <x v="79"/>
    <x v="46"/>
    <n v="2024"/>
    <x v="7"/>
    <x v="3"/>
    <x v="0"/>
    <x v="0"/>
    <x v="0"/>
    <x v="0"/>
    <x v="79"/>
    <n v="4"/>
    <n v="0.12"/>
    <n v="20768.560000000001"/>
    <n v="15108.24"/>
    <n v="8969.2000000000007"/>
  </r>
  <r>
    <x v="80"/>
    <x v="71"/>
    <n v="2024"/>
    <x v="8"/>
    <x v="2"/>
    <x v="3"/>
    <x v="2"/>
    <x v="4"/>
    <x v="2"/>
    <x v="80"/>
    <n v="1"/>
    <n v="0.06"/>
    <n v="4805.2299999999996"/>
    <n v="3369.09"/>
    <n v="8174.32"/>
  </r>
  <r>
    <x v="81"/>
    <x v="72"/>
    <n v="2024"/>
    <x v="8"/>
    <x v="1"/>
    <x v="0"/>
    <x v="0"/>
    <x v="2"/>
    <x v="0"/>
    <x v="81"/>
    <n v="3"/>
    <n v="0.08"/>
    <n v="23554.76"/>
    <n v="15736.56"/>
    <n v="13097.106666666667"/>
  </r>
  <r>
    <x v="82"/>
    <x v="73"/>
    <n v="2024"/>
    <x v="4"/>
    <x v="3"/>
    <x v="2"/>
    <x v="2"/>
    <x v="0"/>
    <x v="1"/>
    <x v="82"/>
    <n v="11"/>
    <n v="0.17"/>
    <n v="25857.56"/>
    <n v="8188.39"/>
    <n v="3095.0863636363633"/>
  </r>
  <r>
    <x v="83"/>
    <x v="74"/>
    <n v="2024"/>
    <x v="11"/>
    <x v="3"/>
    <x v="4"/>
    <x v="2"/>
    <x v="2"/>
    <x v="1"/>
    <x v="83"/>
    <n v="8"/>
    <n v="0"/>
    <n v="23532.89"/>
    <n v="4163.33"/>
    <n v="3462.0275000000001"/>
  </r>
  <r>
    <x v="84"/>
    <x v="75"/>
    <n v="2024"/>
    <x v="11"/>
    <x v="4"/>
    <x v="3"/>
    <x v="0"/>
    <x v="5"/>
    <x v="1"/>
    <x v="84"/>
    <n v="3"/>
    <n v="0.13"/>
    <n v="12287.36"/>
    <n v="3158.71"/>
    <n v="5148.6899999999996"/>
  </r>
  <r>
    <x v="85"/>
    <x v="76"/>
    <n v="2024"/>
    <x v="10"/>
    <x v="2"/>
    <x v="1"/>
    <x v="1"/>
    <x v="3"/>
    <x v="0"/>
    <x v="85"/>
    <n v="4"/>
    <n v="0.05"/>
    <n v="3287.89"/>
    <n v="1121.55"/>
    <n v="1102.3599999999999"/>
  </r>
  <r>
    <x v="86"/>
    <x v="77"/>
    <n v="2024"/>
    <x v="8"/>
    <x v="0"/>
    <x v="2"/>
    <x v="0"/>
    <x v="4"/>
    <x v="0"/>
    <x v="86"/>
    <n v="11"/>
    <n v="0.22"/>
    <n v="8639.69"/>
    <n v="3711.92"/>
    <n v="1122.8736363636365"/>
  </r>
  <r>
    <x v="87"/>
    <x v="78"/>
    <n v="2024"/>
    <x v="8"/>
    <x v="4"/>
    <x v="2"/>
    <x v="1"/>
    <x v="0"/>
    <x v="0"/>
    <x v="87"/>
    <n v="5"/>
    <n v="0.08"/>
    <n v="24314.77"/>
    <n v="5532.29"/>
    <n v="5969.4120000000003"/>
  </r>
  <r>
    <x v="88"/>
    <x v="79"/>
    <n v="2024"/>
    <x v="6"/>
    <x v="2"/>
    <x v="2"/>
    <x v="1"/>
    <x v="1"/>
    <x v="1"/>
    <x v="88"/>
    <n v="8"/>
    <n v="0.09"/>
    <n v="13911.01"/>
    <n v="3416.55"/>
    <n v="2165.9450000000002"/>
  </r>
  <r>
    <x v="89"/>
    <x v="80"/>
    <n v="2024"/>
    <x v="10"/>
    <x v="0"/>
    <x v="3"/>
    <x v="1"/>
    <x v="5"/>
    <x v="0"/>
    <x v="89"/>
    <n v="10"/>
    <n v="0.1"/>
    <n v="22399.82"/>
    <n v="9873.31"/>
    <n v="3227.3130000000001"/>
  </r>
  <r>
    <x v="90"/>
    <x v="33"/>
    <n v="2024"/>
    <x v="9"/>
    <x v="2"/>
    <x v="4"/>
    <x v="0"/>
    <x v="2"/>
    <x v="2"/>
    <x v="90"/>
    <n v="9"/>
    <n v="0.2"/>
    <n v="7330.44"/>
    <n v="1928.78"/>
    <n v="1028.8022222222221"/>
  </r>
  <r>
    <x v="91"/>
    <x v="81"/>
    <n v="2024"/>
    <x v="10"/>
    <x v="3"/>
    <x v="4"/>
    <x v="1"/>
    <x v="0"/>
    <x v="1"/>
    <x v="91"/>
    <n v="1"/>
    <n v="0.13"/>
    <n v="26043.93"/>
    <n v="7046.92"/>
    <n v="33090.85"/>
  </r>
  <r>
    <x v="92"/>
    <x v="18"/>
    <n v="2024"/>
    <x v="9"/>
    <x v="1"/>
    <x v="0"/>
    <x v="2"/>
    <x v="3"/>
    <x v="1"/>
    <x v="92"/>
    <n v="10"/>
    <n v="0.18"/>
    <n v="25759.09"/>
    <n v="8757.2800000000007"/>
    <n v="3451.6370000000002"/>
  </r>
  <r>
    <x v="93"/>
    <x v="82"/>
    <n v="2024"/>
    <x v="6"/>
    <x v="4"/>
    <x v="3"/>
    <x v="0"/>
    <x v="4"/>
    <x v="0"/>
    <x v="93"/>
    <n v="3"/>
    <n v="0.19"/>
    <n v="17239.07"/>
    <n v="11871.06"/>
    <n v="9703.376666666667"/>
  </r>
  <r>
    <x v="94"/>
    <x v="83"/>
    <n v="2024"/>
    <x v="6"/>
    <x v="4"/>
    <x v="4"/>
    <x v="2"/>
    <x v="1"/>
    <x v="2"/>
    <x v="94"/>
    <n v="2"/>
    <n v="0.08"/>
    <n v="5457.25"/>
    <n v="3340.1"/>
    <n v="4398.6750000000002"/>
  </r>
  <r>
    <x v="95"/>
    <x v="84"/>
    <n v="2024"/>
    <x v="7"/>
    <x v="2"/>
    <x v="4"/>
    <x v="0"/>
    <x v="5"/>
    <x v="2"/>
    <x v="95"/>
    <n v="2"/>
    <n v="0.05"/>
    <n v="6044.3"/>
    <n v="3493.04"/>
    <n v="4768.67"/>
  </r>
  <r>
    <x v="96"/>
    <x v="85"/>
    <n v="2024"/>
    <x v="6"/>
    <x v="0"/>
    <x v="1"/>
    <x v="0"/>
    <x v="5"/>
    <x v="1"/>
    <x v="96"/>
    <n v="11"/>
    <n v="0.12"/>
    <n v="2748.49"/>
    <n v="571.85"/>
    <n v="301.84909090909093"/>
  </r>
  <r>
    <x v="97"/>
    <x v="86"/>
    <n v="2024"/>
    <x v="11"/>
    <x v="4"/>
    <x v="2"/>
    <x v="0"/>
    <x v="1"/>
    <x v="0"/>
    <x v="97"/>
    <n v="10"/>
    <n v="0.14000000000000001"/>
    <n v="2236.52"/>
    <n v="574.49"/>
    <n v="281.101"/>
  </r>
  <r>
    <x v="98"/>
    <x v="87"/>
    <n v="2024"/>
    <x v="5"/>
    <x v="4"/>
    <x v="1"/>
    <x v="0"/>
    <x v="0"/>
    <x v="2"/>
    <x v="98"/>
    <n v="11"/>
    <n v="0.01"/>
    <n v="22494.94"/>
    <n v="7276.59"/>
    <n v="2706.502727272727"/>
  </r>
  <r>
    <x v="99"/>
    <x v="88"/>
    <n v="2024"/>
    <x v="10"/>
    <x v="1"/>
    <x v="2"/>
    <x v="1"/>
    <x v="1"/>
    <x v="2"/>
    <x v="99"/>
    <n v="3"/>
    <n v="0.02"/>
    <n v="13974.28"/>
    <n v="6093.17"/>
    <n v="6689.1500000000005"/>
  </r>
  <r>
    <x v="100"/>
    <x v="89"/>
    <n v="2024"/>
    <x v="11"/>
    <x v="4"/>
    <x v="0"/>
    <x v="2"/>
    <x v="0"/>
    <x v="2"/>
    <x v="100"/>
    <n v="8"/>
    <n v="0.17"/>
    <n v="21765.95"/>
    <n v="8885.2900000000009"/>
    <n v="3831.4050000000002"/>
  </r>
  <r>
    <x v="101"/>
    <x v="82"/>
    <n v="2024"/>
    <x v="6"/>
    <x v="3"/>
    <x v="0"/>
    <x v="1"/>
    <x v="0"/>
    <x v="0"/>
    <x v="101"/>
    <n v="3"/>
    <n v="0.24"/>
    <n v="6733.55"/>
    <n v="5150.1000000000004"/>
    <n v="3961.2166666666667"/>
  </r>
  <r>
    <x v="102"/>
    <x v="90"/>
    <n v="2024"/>
    <x v="0"/>
    <x v="3"/>
    <x v="0"/>
    <x v="1"/>
    <x v="5"/>
    <x v="1"/>
    <x v="102"/>
    <n v="1"/>
    <n v="0.23"/>
    <n v="10207.64"/>
    <n v="4126.82"/>
    <n v="14334.46"/>
  </r>
  <r>
    <x v="103"/>
    <x v="91"/>
    <n v="2024"/>
    <x v="1"/>
    <x v="0"/>
    <x v="2"/>
    <x v="2"/>
    <x v="3"/>
    <x v="0"/>
    <x v="103"/>
    <n v="7"/>
    <n v="7.0000000000000007E-2"/>
    <n v="20610.95"/>
    <n v="15261.43"/>
    <n v="5124.6257142857139"/>
  </r>
  <r>
    <x v="104"/>
    <x v="52"/>
    <n v="2024"/>
    <x v="11"/>
    <x v="2"/>
    <x v="4"/>
    <x v="0"/>
    <x v="1"/>
    <x v="1"/>
    <x v="104"/>
    <n v="11"/>
    <n v="0.21"/>
    <n v="28479.01"/>
    <n v="11418.42"/>
    <n v="3627.0390909090911"/>
  </r>
  <r>
    <x v="105"/>
    <x v="21"/>
    <n v="2024"/>
    <x v="6"/>
    <x v="1"/>
    <x v="3"/>
    <x v="1"/>
    <x v="2"/>
    <x v="0"/>
    <x v="105"/>
    <n v="3"/>
    <n v="0.15"/>
    <n v="3311.5"/>
    <n v="1477.33"/>
    <n v="1596.2766666666666"/>
  </r>
  <r>
    <x v="106"/>
    <x v="92"/>
    <n v="2024"/>
    <x v="11"/>
    <x v="1"/>
    <x v="4"/>
    <x v="1"/>
    <x v="3"/>
    <x v="1"/>
    <x v="106"/>
    <n v="1"/>
    <n v="0.17"/>
    <n v="23333.42"/>
    <n v="8013.26"/>
    <n v="31346.68"/>
  </r>
  <r>
    <x v="107"/>
    <x v="93"/>
    <n v="2024"/>
    <x v="1"/>
    <x v="4"/>
    <x v="3"/>
    <x v="2"/>
    <x v="5"/>
    <x v="0"/>
    <x v="107"/>
    <n v="7"/>
    <n v="0.21"/>
    <n v="13583.32"/>
    <n v="9017.7000000000007"/>
    <n v="3228.7171428571428"/>
  </r>
  <r>
    <x v="108"/>
    <x v="94"/>
    <n v="2024"/>
    <x v="1"/>
    <x v="4"/>
    <x v="4"/>
    <x v="0"/>
    <x v="5"/>
    <x v="2"/>
    <x v="108"/>
    <n v="1"/>
    <n v="0.1"/>
    <n v="591.79999999999995"/>
    <n v="386.51"/>
    <n v="978.31"/>
  </r>
  <r>
    <x v="109"/>
    <x v="95"/>
    <n v="2024"/>
    <x v="4"/>
    <x v="3"/>
    <x v="2"/>
    <x v="2"/>
    <x v="2"/>
    <x v="1"/>
    <x v="109"/>
    <n v="9"/>
    <n v="0.21"/>
    <n v="13943.8"/>
    <n v="11024.97"/>
    <n v="2774.307777777778"/>
  </r>
  <r>
    <x v="110"/>
    <x v="96"/>
    <n v="2024"/>
    <x v="0"/>
    <x v="1"/>
    <x v="0"/>
    <x v="1"/>
    <x v="4"/>
    <x v="2"/>
    <x v="110"/>
    <n v="3"/>
    <n v="0.2"/>
    <n v="9982.1200000000008"/>
    <n v="1791.06"/>
    <n v="3924.3933333333334"/>
  </r>
  <r>
    <x v="111"/>
    <x v="97"/>
    <n v="2024"/>
    <x v="0"/>
    <x v="0"/>
    <x v="2"/>
    <x v="1"/>
    <x v="3"/>
    <x v="0"/>
    <x v="111"/>
    <n v="1"/>
    <n v="0.03"/>
    <n v="10678.86"/>
    <n v="3863.21"/>
    <n v="14542.07"/>
  </r>
  <r>
    <x v="112"/>
    <x v="98"/>
    <n v="2024"/>
    <x v="2"/>
    <x v="0"/>
    <x v="1"/>
    <x v="1"/>
    <x v="3"/>
    <x v="2"/>
    <x v="112"/>
    <n v="1"/>
    <n v="0.15"/>
    <n v="25016.65"/>
    <n v="13779.08"/>
    <n v="38795.730000000003"/>
  </r>
  <r>
    <x v="113"/>
    <x v="99"/>
    <n v="2024"/>
    <x v="10"/>
    <x v="0"/>
    <x v="1"/>
    <x v="1"/>
    <x v="2"/>
    <x v="2"/>
    <x v="113"/>
    <n v="7"/>
    <n v="0.11"/>
    <n v="20511.25"/>
    <n v="9401.7199999999993"/>
    <n v="4273.2814285714285"/>
  </r>
  <r>
    <x v="114"/>
    <x v="100"/>
    <n v="2024"/>
    <x v="8"/>
    <x v="2"/>
    <x v="0"/>
    <x v="2"/>
    <x v="4"/>
    <x v="0"/>
    <x v="114"/>
    <n v="10"/>
    <n v="0.21"/>
    <n v="1854.85"/>
    <n v="1082.4000000000001"/>
    <n v="293.72500000000002"/>
  </r>
  <r>
    <x v="115"/>
    <x v="42"/>
    <n v="2024"/>
    <x v="9"/>
    <x v="3"/>
    <x v="3"/>
    <x v="0"/>
    <x v="5"/>
    <x v="1"/>
    <x v="115"/>
    <n v="1"/>
    <n v="7.0000000000000007E-2"/>
    <n v="17865.169999999998"/>
    <n v="9629.08"/>
    <n v="27494.25"/>
  </r>
  <r>
    <x v="116"/>
    <x v="101"/>
    <n v="2024"/>
    <x v="1"/>
    <x v="1"/>
    <x v="1"/>
    <x v="0"/>
    <x v="0"/>
    <x v="0"/>
    <x v="116"/>
    <n v="4"/>
    <n v="0.04"/>
    <n v="1086.93"/>
    <n v="222.5"/>
    <n v="327.35750000000002"/>
  </r>
  <r>
    <x v="117"/>
    <x v="102"/>
    <n v="2024"/>
    <x v="7"/>
    <x v="4"/>
    <x v="3"/>
    <x v="2"/>
    <x v="1"/>
    <x v="0"/>
    <x v="117"/>
    <n v="6"/>
    <n v="0.08"/>
    <n v="24972.52"/>
    <n v="10566.28"/>
    <n v="5923.1333333333341"/>
  </r>
  <r>
    <x v="118"/>
    <x v="103"/>
    <n v="2024"/>
    <x v="7"/>
    <x v="2"/>
    <x v="3"/>
    <x v="0"/>
    <x v="3"/>
    <x v="0"/>
    <x v="118"/>
    <n v="8"/>
    <n v="0.24"/>
    <n v="16674.18"/>
    <n v="7515.77"/>
    <n v="3023.7437500000001"/>
  </r>
  <r>
    <x v="119"/>
    <x v="69"/>
    <n v="2024"/>
    <x v="2"/>
    <x v="0"/>
    <x v="3"/>
    <x v="0"/>
    <x v="4"/>
    <x v="0"/>
    <x v="119"/>
    <n v="7"/>
    <n v="0.03"/>
    <n v="16247.13"/>
    <n v="9281.07"/>
    <n v="3646.8857142857146"/>
  </r>
  <r>
    <x v="120"/>
    <x v="104"/>
    <n v="2024"/>
    <x v="11"/>
    <x v="1"/>
    <x v="1"/>
    <x v="1"/>
    <x v="1"/>
    <x v="0"/>
    <x v="120"/>
    <n v="11"/>
    <n v="0.2"/>
    <n v="1077.07"/>
    <n v="367.72"/>
    <n v="131.34454545454545"/>
  </r>
  <r>
    <x v="121"/>
    <x v="105"/>
    <n v="2024"/>
    <x v="4"/>
    <x v="3"/>
    <x v="3"/>
    <x v="0"/>
    <x v="1"/>
    <x v="0"/>
    <x v="121"/>
    <n v="7"/>
    <n v="0.05"/>
    <n v="2661.2"/>
    <n v="1423.21"/>
    <n v="583.48714285714289"/>
  </r>
  <r>
    <x v="122"/>
    <x v="73"/>
    <n v="2024"/>
    <x v="4"/>
    <x v="4"/>
    <x v="0"/>
    <x v="2"/>
    <x v="5"/>
    <x v="1"/>
    <x v="122"/>
    <n v="10"/>
    <n v="0.05"/>
    <n v="12501.28"/>
    <n v="8923.91"/>
    <n v="2142.5189999999998"/>
  </r>
  <r>
    <x v="123"/>
    <x v="40"/>
    <n v="2024"/>
    <x v="5"/>
    <x v="3"/>
    <x v="1"/>
    <x v="0"/>
    <x v="1"/>
    <x v="0"/>
    <x v="123"/>
    <n v="4"/>
    <n v="0.22"/>
    <n v="9669.64"/>
    <n v="6094.36"/>
    <n v="3941"/>
  </r>
  <r>
    <x v="124"/>
    <x v="106"/>
    <n v="2024"/>
    <x v="7"/>
    <x v="0"/>
    <x v="2"/>
    <x v="2"/>
    <x v="3"/>
    <x v="1"/>
    <x v="124"/>
    <n v="7"/>
    <n v="0.15"/>
    <n v="25926.92"/>
    <n v="6950.26"/>
    <n v="4696.74"/>
  </r>
  <r>
    <x v="125"/>
    <x v="107"/>
    <n v="2024"/>
    <x v="2"/>
    <x v="3"/>
    <x v="2"/>
    <x v="2"/>
    <x v="1"/>
    <x v="2"/>
    <x v="125"/>
    <n v="2"/>
    <n v="0.05"/>
    <n v="8202.1200000000008"/>
    <n v="3729.59"/>
    <n v="5965.8549999999996"/>
  </r>
  <r>
    <x v="126"/>
    <x v="108"/>
    <n v="2024"/>
    <x v="2"/>
    <x v="4"/>
    <x v="4"/>
    <x v="1"/>
    <x v="5"/>
    <x v="2"/>
    <x v="126"/>
    <n v="4"/>
    <n v="0.05"/>
    <n v="13937.26"/>
    <n v="2529.63"/>
    <n v="4116.7224999999999"/>
  </r>
  <r>
    <x v="127"/>
    <x v="87"/>
    <n v="2024"/>
    <x v="5"/>
    <x v="4"/>
    <x v="1"/>
    <x v="0"/>
    <x v="2"/>
    <x v="2"/>
    <x v="127"/>
    <n v="10"/>
    <n v="0.14000000000000001"/>
    <n v="3893.3"/>
    <n v="1610.65"/>
    <n v="550.39499999999998"/>
  </r>
  <r>
    <x v="128"/>
    <x v="109"/>
    <n v="2024"/>
    <x v="6"/>
    <x v="4"/>
    <x v="1"/>
    <x v="1"/>
    <x v="0"/>
    <x v="2"/>
    <x v="128"/>
    <n v="7"/>
    <n v="7.0000000000000007E-2"/>
    <n v="13692.09"/>
    <n v="6820.45"/>
    <n v="2930.3628571428571"/>
  </r>
  <r>
    <x v="129"/>
    <x v="71"/>
    <n v="2024"/>
    <x v="8"/>
    <x v="1"/>
    <x v="2"/>
    <x v="2"/>
    <x v="4"/>
    <x v="0"/>
    <x v="129"/>
    <n v="7"/>
    <n v="0.11"/>
    <n v="25913.8"/>
    <n v="12323.05"/>
    <n v="5462.4071428571424"/>
  </r>
  <r>
    <x v="130"/>
    <x v="110"/>
    <n v="2024"/>
    <x v="4"/>
    <x v="2"/>
    <x v="3"/>
    <x v="2"/>
    <x v="4"/>
    <x v="1"/>
    <x v="130"/>
    <n v="7"/>
    <n v="0.21"/>
    <n v="9450.7999999999993"/>
    <n v="1772.36"/>
    <n v="1603.3085714285714"/>
  </r>
  <r>
    <x v="131"/>
    <x v="111"/>
    <n v="2024"/>
    <x v="1"/>
    <x v="1"/>
    <x v="2"/>
    <x v="2"/>
    <x v="1"/>
    <x v="2"/>
    <x v="131"/>
    <n v="7"/>
    <n v="0.12"/>
    <n v="24936.36"/>
    <n v="6864.24"/>
    <n v="4542.9428571428571"/>
  </r>
  <r>
    <x v="132"/>
    <x v="0"/>
    <n v="2024"/>
    <x v="0"/>
    <x v="0"/>
    <x v="1"/>
    <x v="1"/>
    <x v="3"/>
    <x v="2"/>
    <x v="132"/>
    <n v="1"/>
    <n v="0.03"/>
    <n v="4337.78"/>
    <n v="2889.3"/>
    <n v="7227.08"/>
  </r>
  <r>
    <x v="133"/>
    <x v="112"/>
    <n v="2024"/>
    <x v="3"/>
    <x v="1"/>
    <x v="0"/>
    <x v="0"/>
    <x v="3"/>
    <x v="2"/>
    <x v="133"/>
    <n v="7"/>
    <n v="0.13"/>
    <n v="25271.85"/>
    <n v="10255.549999999999"/>
    <n v="5075.3428571428576"/>
  </r>
  <r>
    <x v="134"/>
    <x v="52"/>
    <n v="2024"/>
    <x v="11"/>
    <x v="2"/>
    <x v="4"/>
    <x v="1"/>
    <x v="0"/>
    <x v="2"/>
    <x v="134"/>
    <n v="1"/>
    <n v="0.24"/>
    <n v="15886.03"/>
    <n v="5009.1899999999996"/>
    <n v="20895.22"/>
  </r>
  <r>
    <x v="135"/>
    <x v="33"/>
    <n v="2024"/>
    <x v="9"/>
    <x v="3"/>
    <x v="2"/>
    <x v="0"/>
    <x v="3"/>
    <x v="0"/>
    <x v="135"/>
    <n v="7"/>
    <n v="0.2"/>
    <n v="4690.6000000000004"/>
    <n v="1041.08"/>
    <n v="818.81142857142856"/>
  </r>
  <r>
    <x v="136"/>
    <x v="113"/>
    <n v="2024"/>
    <x v="3"/>
    <x v="0"/>
    <x v="0"/>
    <x v="0"/>
    <x v="3"/>
    <x v="0"/>
    <x v="136"/>
    <n v="6"/>
    <n v="0.2"/>
    <n v="26334.01"/>
    <n v="5147.7"/>
    <n v="5246.9516666666668"/>
  </r>
  <r>
    <x v="137"/>
    <x v="46"/>
    <n v="2024"/>
    <x v="7"/>
    <x v="1"/>
    <x v="2"/>
    <x v="1"/>
    <x v="2"/>
    <x v="0"/>
    <x v="137"/>
    <n v="7"/>
    <n v="0.14000000000000001"/>
    <n v="29019.23"/>
    <n v="6574.17"/>
    <n v="5084.7714285714292"/>
  </r>
  <r>
    <x v="138"/>
    <x v="114"/>
    <n v="2024"/>
    <x v="8"/>
    <x v="0"/>
    <x v="4"/>
    <x v="2"/>
    <x v="0"/>
    <x v="2"/>
    <x v="138"/>
    <n v="11"/>
    <n v="0.23"/>
    <n v="5031.0200000000004"/>
    <n v="1455.38"/>
    <n v="589.67272727272723"/>
  </r>
  <r>
    <x v="139"/>
    <x v="115"/>
    <n v="2024"/>
    <x v="9"/>
    <x v="1"/>
    <x v="0"/>
    <x v="0"/>
    <x v="0"/>
    <x v="0"/>
    <x v="139"/>
    <n v="11"/>
    <n v="0.18"/>
    <n v="4443.21"/>
    <n v="959.49"/>
    <n v="491.15454545454543"/>
  </r>
  <r>
    <x v="140"/>
    <x v="116"/>
    <n v="2024"/>
    <x v="7"/>
    <x v="1"/>
    <x v="3"/>
    <x v="1"/>
    <x v="4"/>
    <x v="2"/>
    <x v="140"/>
    <n v="4"/>
    <n v="0.02"/>
    <n v="7495.64"/>
    <n v="3158.79"/>
    <n v="2663.6075000000001"/>
  </r>
  <r>
    <x v="141"/>
    <x v="117"/>
    <n v="2024"/>
    <x v="3"/>
    <x v="2"/>
    <x v="3"/>
    <x v="0"/>
    <x v="0"/>
    <x v="0"/>
    <x v="141"/>
    <n v="2"/>
    <n v="0.17"/>
    <n v="12281.31"/>
    <n v="8704.67"/>
    <n v="10492.99"/>
  </r>
  <r>
    <x v="142"/>
    <x v="118"/>
    <n v="2024"/>
    <x v="0"/>
    <x v="4"/>
    <x v="0"/>
    <x v="2"/>
    <x v="0"/>
    <x v="1"/>
    <x v="142"/>
    <n v="5"/>
    <n v="0.12"/>
    <n v="25566.02"/>
    <n v="12478.31"/>
    <n v="7608.866"/>
  </r>
  <r>
    <x v="143"/>
    <x v="119"/>
    <n v="2024"/>
    <x v="5"/>
    <x v="3"/>
    <x v="4"/>
    <x v="0"/>
    <x v="3"/>
    <x v="1"/>
    <x v="143"/>
    <n v="6"/>
    <n v="0.05"/>
    <n v="29204.15"/>
    <n v="5331.34"/>
    <n v="5755.915"/>
  </r>
  <r>
    <x v="144"/>
    <x v="24"/>
    <n v="2024"/>
    <x v="8"/>
    <x v="2"/>
    <x v="4"/>
    <x v="1"/>
    <x v="0"/>
    <x v="0"/>
    <x v="144"/>
    <n v="10"/>
    <n v="0"/>
    <n v="8211.5400000000009"/>
    <n v="5313.8"/>
    <n v="1352.5340000000001"/>
  </r>
  <r>
    <x v="145"/>
    <x v="120"/>
    <n v="2024"/>
    <x v="8"/>
    <x v="2"/>
    <x v="3"/>
    <x v="1"/>
    <x v="3"/>
    <x v="0"/>
    <x v="145"/>
    <n v="5"/>
    <n v="0.04"/>
    <n v="1822.12"/>
    <n v="438.47"/>
    <n v="452.11800000000005"/>
  </r>
  <r>
    <x v="146"/>
    <x v="50"/>
    <n v="2024"/>
    <x v="9"/>
    <x v="3"/>
    <x v="4"/>
    <x v="0"/>
    <x v="0"/>
    <x v="2"/>
    <x v="146"/>
    <n v="3"/>
    <n v="0.19"/>
    <n v="16810.259999999998"/>
    <n v="7341.49"/>
    <n v="8050.583333333333"/>
  </r>
  <r>
    <x v="147"/>
    <x v="26"/>
    <n v="2024"/>
    <x v="1"/>
    <x v="3"/>
    <x v="0"/>
    <x v="0"/>
    <x v="1"/>
    <x v="0"/>
    <x v="147"/>
    <n v="9"/>
    <n v="0.06"/>
    <n v="13537.59"/>
    <n v="9793.08"/>
    <n v="2592.2966666666666"/>
  </r>
  <r>
    <x v="148"/>
    <x v="121"/>
    <n v="2024"/>
    <x v="11"/>
    <x v="3"/>
    <x v="4"/>
    <x v="1"/>
    <x v="3"/>
    <x v="1"/>
    <x v="148"/>
    <n v="11"/>
    <n v="0.11"/>
    <n v="8538.1200000000008"/>
    <n v="1730.16"/>
    <n v="933.48"/>
  </r>
  <r>
    <x v="149"/>
    <x v="113"/>
    <n v="2024"/>
    <x v="3"/>
    <x v="2"/>
    <x v="4"/>
    <x v="2"/>
    <x v="3"/>
    <x v="0"/>
    <x v="149"/>
    <n v="10"/>
    <n v="0.17"/>
    <n v="13891.4"/>
    <n v="10568.18"/>
    <n v="2445.9580000000001"/>
  </r>
  <r>
    <x v="150"/>
    <x v="122"/>
    <n v="2024"/>
    <x v="1"/>
    <x v="0"/>
    <x v="0"/>
    <x v="2"/>
    <x v="3"/>
    <x v="2"/>
    <x v="150"/>
    <n v="10"/>
    <n v="0.23"/>
    <n v="31008.22"/>
    <n v="8270.2800000000007"/>
    <n v="3927.85"/>
  </r>
  <r>
    <x v="151"/>
    <x v="117"/>
    <n v="2024"/>
    <x v="3"/>
    <x v="2"/>
    <x v="1"/>
    <x v="2"/>
    <x v="4"/>
    <x v="0"/>
    <x v="151"/>
    <n v="1"/>
    <n v="0.11"/>
    <n v="5480.52"/>
    <n v="979.45"/>
    <n v="6459.97"/>
  </r>
  <r>
    <x v="152"/>
    <x v="123"/>
    <n v="2024"/>
    <x v="1"/>
    <x v="1"/>
    <x v="1"/>
    <x v="1"/>
    <x v="2"/>
    <x v="2"/>
    <x v="152"/>
    <n v="10"/>
    <n v="0.17"/>
    <n v="8607.1200000000008"/>
    <n v="4533.13"/>
    <n v="1314.0250000000001"/>
  </r>
  <r>
    <x v="153"/>
    <x v="124"/>
    <n v="2024"/>
    <x v="10"/>
    <x v="2"/>
    <x v="2"/>
    <x v="2"/>
    <x v="0"/>
    <x v="2"/>
    <x v="153"/>
    <n v="4"/>
    <n v="0.18"/>
    <n v="22468.16"/>
    <n v="11570.84"/>
    <n v="8509.75"/>
  </r>
  <r>
    <x v="154"/>
    <x v="125"/>
    <n v="2024"/>
    <x v="7"/>
    <x v="4"/>
    <x v="0"/>
    <x v="0"/>
    <x v="0"/>
    <x v="2"/>
    <x v="154"/>
    <n v="2"/>
    <n v="0.02"/>
    <n v="4511.6899999999996"/>
    <n v="2527.9699999999998"/>
    <n v="3519.83"/>
  </r>
  <r>
    <x v="155"/>
    <x v="81"/>
    <n v="2024"/>
    <x v="10"/>
    <x v="4"/>
    <x v="4"/>
    <x v="1"/>
    <x v="2"/>
    <x v="2"/>
    <x v="155"/>
    <n v="2"/>
    <n v="0.11"/>
    <n v="3565.82"/>
    <n v="2281.92"/>
    <n v="2923.87"/>
  </r>
  <r>
    <x v="156"/>
    <x v="78"/>
    <n v="2024"/>
    <x v="8"/>
    <x v="1"/>
    <x v="1"/>
    <x v="0"/>
    <x v="2"/>
    <x v="2"/>
    <x v="156"/>
    <n v="11"/>
    <n v="0.02"/>
    <n v="5732.84"/>
    <n v="1810.42"/>
    <n v="685.75090909090909"/>
  </r>
  <r>
    <x v="157"/>
    <x v="126"/>
    <n v="2024"/>
    <x v="5"/>
    <x v="2"/>
    <x v="3"/>
    <x v="2"/>
    <x v="3"/>
    <x v="1"/>
    <x v="157"/>
    <n v="6"/>
    <n v="0.2"/>
    <n v="17149.439999999999"/>
    <n v="13822.7"/>
    <n v="5162.0233333333335"/>
  </r>
  <r>
    <x v="158"/>
    <x v="127"/>
    <n v="2024"/>
    <x v="3"/>
    <x v="4"/>
    <x v="2"/>
    <x v="1"/>
    <x v="4"/>
    <x v="2"/>
    <x v="158"/>
    <n v="2"/>
    <n v="0.08"/>
    <n v="3255.9"/>
    <n v="2539.36"/>
    <n v="2897.63"/>
  </r>
  <r>
    <x v="159"/>
    <x v="79"/>
    <n v="2024"/>
    <x v="6"/>
    <x v="1"/>
    <x v="3"/>
    <x v="2"/>
    <x v="2"/>
    <x v="2"/>
    <x v="159"/>
    <n v="1"/>
    <n v="0.23"/>
    <n v="2650.34"/>
    <n v="1721.74"/>
    <n v="4372.08"/>
  </r>
  <r>
    <x v="160"/>
    <x v="128"/>
    <n v="2024"/>
    <x v="3"/>
    <x v="2"/>
    <x v="3"/>
    <x v="2"/>
    <x v="3"/>
    <x v="1"/>
    <x v="160"/>
    <n v="9"/>
    <n v="0.24"/>
    <n v="19703.29"/>
    <n v="5673.43"/>
    <n v="2819.6355555555556"/>
  </r>
  <r>
    <x v="161"/>
    <x v="129"/>
    <n v="2024"/>
    <x v="10"/>
    <x v="3"/>
    <x v="3"/>
    <x v="2"/>
    <x v="2"/>
    <x v="0"/>
    <x v="161"/>
    <n v="4"/>
    <n v="0.23"/>
    <n v="22817.03"/>
    <n v="8042.71"/>
    <n v="7714.9350000000004"/>
  </r>
  <r>
    <x v="162"/>
    <x v="130"/>
    <n v="2024"/>
    <x v="4"/>
    <x v="0"/>
    <x v="1"/>
    <x v="1"/>
    <x v="4"/>
    <x v="1"/>
    <x v="162"/>
    <n v="2"/>
    <n v="0.22"/>
    <n v="24217.46"/>
    <n v="6231.32"/>
    <n v="15224.39"/>
  </r>
  <r>
    <x v="163"/>
    <x v="84"/>
    <n v="2024"/>
    <x v="7"/>
    <x v="4"/>
    <x v="0"/>
    <x v="0"/>
    <x v="5"/>
    <x v="2"/>
    <x v="163"/>
    <n v="7"/>
    <n v="0.21"/>
    <n v="14030.24"/>
    <n v="3747.39"/>
    <n v="2539.6614285714286"/>
  </r>
  <r>
    <x v="164"/>
    <x v="131"/>
    <n v="2024"/>
    <x v="0"/>
    <x v="1"/>
    <x v="4"/>
    <x v="1"/>
    <x v="5"/>
    <x v="1"/>
    <x v="164"/>
    <n v="11"/>
    <n v="0.02"/>
    <n v="20670.189999999999"/>
    <n v="16060.54"/>
    <n v="3339.1572727272728"/>
  </r>
  <r>
    <x v="165"/>
    <x v="132"/>
    <n v="2024"/>
    <x v="6"/>
    <x v="1"/>
    <x v="2"/>
    <x v="2"/>
    <x v="5"/>
    <x v="1"/>
    <x v="165"/>
    <n v="3"/>
    <n v="0.09"/>
    <n v="5570.71"/>
    <n v="1143.5999999999999"/>
    <n v="2238.1033333333335"/>
  </r>
  <r>
    <x v="166"/>
    <x v="133"/>
    <n v="2024"/>
    <x v="4"/>
    <x v="0"/>
    <x v="3"/>
    <x v="1"/>
    <x v="3"/>
    <x v="0"/>
    <x v="166"/>
    <n v="10"/>
    <n v="0.25"/>
    <n v="14154.85"/>
    <n v="3952.79"/>
    <n v="1810.7639999999999"/>
  </r>
  <r>
    <x v="167"/>
    <x v="132"/>
    <n v="2024"/>
    <x v="6"/>
    <x v="3"/>
    <x v="0"/>
    <x v="0"/>
    <x v="2"/>
    <x v="2"/>
    <x v="167"/>
    <n v="11"/>
    <n v="0.22"/>
    <n v="12810.4"/>
    <n v="2465.66"/>
    <n v="1388.7327272727273"/>
  </r>
  <r>
    <x v="168"/>
    <x v="134"/>
    <n v="2024"/>
    <x v="5"/>
    <x v="4"/>
    <x v="1"/>
    <x v="0"/>
    <x v="0"/>
    <x v="0"/>
    <x v="168"/>
    <n v="9"/>
    <n v="0.23"/>
    <n v="13073.91"/>
    <n v="9136.58"/>
    <n v="2467.8322222222223"/>
  </r>
  <r>
    <x v="169"/>
    <x v="11"/>
    <n v="2024"/>
    <x v="6"/>
    <x v="1"/>
    <x v="2"/>
    <x v="0"/>
    <x v="4"/>
    <x v="1"/>
    <x v="169"/>
    <n v="6"/>
    <n v="0.15"/>
    <n v="5913.67"/>
    <n v="2462.21"/>
    <n v="1395.9799999999998"/>
  </r>
  <r>
    <x v="170"/>
    <x v="135"/>
    <n v="2024"/>
    <x v="5"/>
    <x v="1"/>
    <x v="1"/>
    <x v="1"/>
    <x v="4"/>
    <x v="2"/>
    <x v="170"/>
    <n v="3"/>
    <n v="0.13"/>
    <n v="4148.12"/>
    <n v="2419.1"/>
    <n v="2189.0733333333333"/>
  </r>
  <r>
    <x v="171"/>
    <x v="30"/>
    <n v="2024"/>
    <x v="10"/>
    <x v="1"/>
    <x v="2"/>
    <x v="1"/>
    <x v="2"/>
    <x v="1"/>
    <x v="171"/>
    <n v="3"/>
    <n v="0.02"/>
    <n v="26174.9"/>
    <n v="13172.75"/>
    <n v="13115.883333333333"/>
  </r>
  <r>
    <x v="172"/>
    <x v="136"/>
    <n v="2024"/>
    <x v="4"/>
    <x v="2"/>
    <x v="2"/>
    <x v="0"/>
    <x v="0"/>
    <x v="2"/>
    <x v="172"/>
    <n v="4"/>
    <n v="0.18"/>
    <n v="9886.14"/>
    <n v="2757.21"/>
    <n v="3160.8375000000001"/>
  </r>
  <r>
    <x v="173"/>
    <x v="26"/>
    <n v="2024"/>
    <x v="1"/>
    <x v="4"/>
    <x v="1"/>
    <x v="0"/>
    <x v="2"/>
    <x v="1"/>
    <x v="173"/>
    <n v="5"/>
    <n v="0.14000000000000001"/>
    <n v="13845.89"/>
    <n v="6542.42"/>
    <n v="4077.6620000000003"/>
  </r>
  <r>
    <x v="174"/>
    <x v="125"/>
    <n v="2024"/>
    <x v="7"/>
    <x v="2"/>
    <x v="1"/>
    <x v="0"/>
    <x v="4"/>
    <x v="1"/>
    <x v="174"/>
    <n v="9"/>
    <n v="0.24"/>
    <n v="27041.42"/>
    <n v="9676.2999999999993"/>
    <n v="4079.7466666666669"/>
  </r>
  <r>
    <x v="175"/>
    <x v="137"/>
    <n v="2024"/>
    <x v="9"/>
    <x v="0"/>
    <x v="1"/>
    <x v="0"/>
    <x v="5"/>
    <x v="0"/>
    <x v="175"/>
    <n v="8"/>
    <n v="0.03"/>
    <n v="10041.31"/>
    <n v="2622.64"/>
    <n v="1582.9937500000001"/>
  </r>
  <r>
    <x v="176"/>
    <x v="138"/>
    <n v="2024"/>
    <x v="9"/>
    <x v="1"/>
    <x v="3"/>
    <x v="1"/>
    <x v="0"/>
    <x v="0"/>
    <x v="176"/>
    <n v="1"/>
    <n v="0.1"/>
    <n v="10604.87"/>
    <n v="4565.6899999999996"/>
    <n v="15170.56"/>
  </r>
  <r>
    <x v="177"/>
    <x v="139"/>
    <n v="2024"/>
    <x v="5"/>
    <x v="1"/>
    <x v="0"/>
    <x v="1"/>
    <x v="2"/>
    <x v="0"/>
    <x v="177"/>
    <n v="6"/>
    <n v="0.11"/>
    <n v="13596.47"/>
    <n v="9279.2099999999991"/>
    <n v="3812.6133333333332"/>
  </r>
  <r>
    <x v="178"/>
    <x v="140"/>
    <n v="2024"/>
    <x v="2"/>
    <x v="0"/>
    <x v="3"/>
    <x v="1"/>
    <x v="2"/>
    <x v="0"/>
    <x v="178"/>
    <n v="7"/>
    <n v="0.1"/>
    <n v="2056.44"/>
    <n v="1411.61"/>
    <n v="495.43571428571431"/>
  </r>
  <r>
    <x v="179"/>
    <x v="141"/>
    <n v="2024"/>
    <x v="10"/>
    <x v="1"/>
    <x v="0"/>
    <x v="1"/>
    <x v="5"/>
    <x v="0"/>
    <x v="179"/>
    <n v="3"/>
    <n v="0.02"/>
    <n v="1348.25"/>
    <n v="368.13"/>
    <n v="572.12666666666667"/>
  </r>
  <r>
    <x v="180"/>
    <x v="142"/>
    <n v="2024"/>
    <x v="1"/>
    <x v="0"/>
    <x v="1"/>
    <x v="0"/>
    <x v="2"/>
    <x v="0"/>
    <x v="180"/>
    <n v="6"/>
    <n v="0.18"/>
    <n v="16578.2"/>
    <n v="9025.94"/>
    <n v="4267.3566666666666"/>
  </r>
  <r>
    <x v="181"/>
    <x v="143"/>
    <n v="2024"/>
    <x v="6"/>
    <x v="1"/>
    <x v="1"/>
    <x v="2"/>
    <x v="5"/>
    <x v="0"/>
    <x v="181"/>
    <n v="9"/>
    <n v="0.15"/>
    <n v="11260.6"/>
    <n v="4077.95"/>
    <n v="1704.2833333333333"/>
  </r>
  <r>
    <x v="182"/>
    <x v="144"/>
    <n v="2024"/>
    <x v="0"/>
    <x v="0"/>
    <x v="2"/>
    <x v="2"/>
    <x v="0"/>
    <x v="1"/>
    <x v="182"/>
    <n v="9"/>
    <n v="0.16"/>
    <n v="3155.59"/>
    <n v="760.86"/>
    <n v="435.1611111111111"/>
  </r>
  <r>
    <x v="183"/>
    <x v="131"/>
    <n v="2024"/>
    <x v="0"/>
    <x v="2"/>
    <x v="2"/>
    <x v="2"/>
    <x v="3"/>
    <x v="1"/>
    <x v="183"/>
    <n v="11"/>
    <n v="0.02"/>
    <n v="8970.93"/>
    <n v="3065.27"/>
    <n v="1094.2"/>
  </r>
  <r>
    <x v="184"/>
    <x v="145"/>
    <n v="2024"/>
    <x v="9"/>
    <x v="0"/>
    <x v="0"/>
    <x v="1"/>
    <x v="0"/>
    <x v="2"/>
    <x v="184"/>
    <n v="5"/>
    <n v="0.06"/>
    <n v="21873.82"/>
    <n v="6109.67"/>
    <n v="5596.6980000000003"/>
  </r>
  <r>
    <x v="185"/>
    <x v="126"/>
    <n v="2024"/>
    <x v="5"/>
    <x v="2"/>
    <x v="3"/>
    <x v="0"/>
    <x v="2"/>
    <x v="1"/>
    <x v="185"/>
    <n v="11"/>
    <n v="7.0000000000000007E-2"/>
    <n v="24809.83"/>
    <n v="5766.75"/>
    <n v="2779.6890909090912"/>
  </r>
  <r>
    <x v="186"/>
    <x v="146"/>
    <n v="2024"/>
    <x v="3"/>
    <x v="3"/>
    <x v="2"/>
    <x v="0"/>
    <x v="3"/>
    <x v="2"/>
    <x v="186"/>
    <n v="4"/>
    <n v="0.02"/>
    <n v="13606.49"/>
    <n v="7005.04"/>
    <n v="5152.8824999999997"/>
  </r>
  <r>
    <x v="187"/>
    <x v="147"/>
    <n v="2024"/>
    <x v="8"/>
    <x v="2"/>
    <x v="3"/>
    <x v="2"/>
    <x v="5"/>
    <x v="1"/>
    <x v="187"/>
    <n v="4"/>
    <n v="0.18"/>
    <n v="5443.7"/>
    <n v="4010.25"/>
    <n v="2363.4875000000002"/>
  </r>
  <r>
    <x v="188"/>
    <x v="148"/>
    <n v="2024"/>
    <x v="9"/>
    <x v="2"/>
    <x v="1"/>
    <x v="1"/>
    <x v="1"/>
    <x v="2"/>
    <x v="188"/>
    <n v="11"/>
    <n v="0.06"/>
    <n v="20279.150000000001"/>
    <n v="13429.09"/>
    <n v="3064.3854545454542"/>
  </r>
  <r>
    <x v="189"/>
    <x v="149"/>
    <n v="2024"/>
    <x v="2"/>
    <x v="3"/>
    <x v="0"/>
    <x v="0"/>
    <x v="0"/>
    <x v="2"/>
    <x v="189"/>
    <n v="6"/>
    <n v="0.14000000000000001"/>
    <n v="6372.05"/>
    <n v="2569.52"/>
    <n v="1490.2616666666665"/>
  </r>
  <r>
    <x v="190"/>
    <x v="150"/>
    <n v="2024"/>
    <x v="0"/>
    <x v="0"/>
    <x v="2"/>
    <x v="2"/>
    <x v="4"/>
    <x v="2"/>
    <x v="190"/>
    <n v="2"/>
    <n v="0.18"/>
    <n v="21188.31"/>
    <n v="9282.7800000000007"/>
    <n v="15235.545"/>
  </r>
  <r>
    <x v="191"/>
    <x v="151"/>
    <n v="2024"/>
    <x v="2"/>
    <x v="3"/>
    <x v="1"/>
    <x v="1"/>
    <x v="4"/>
    <x v="0"/>
    <x v="191"/>
    <n v="2"/>
    <n v="0.05"/>
    <n v="4987.7299999999996"/>
    <n v="1818.65"/>
    <n v="3403.19"/>
  </r>
  <r>
    <x v="192"/>
    <x v="50"/>
    <n v="2024"/>
    <x v="9"/>
    <x v="0"/>
    <x v="4"/>
    <x v="1"/>
    <x v="2"/>
    <x v="2"/>
    <x v="192"/>
    <n v="5"/>
    <n v="0.22"/>
    <n v="28628.36"/>
    <n v="8817.8799999999992"/>
    <n v="7489.2479999999996"/>
  </r>
  <r>
    <x v="193"/>
    <x v="95"/>
    <n v="2024"/>
    <x v="4"/>
    <x v="1"/>
    <x v="2"/>
    <x v="1"/>
    <x v="5"/>
    <x v="0"/>
    <x v="193"/>
    <n v="1"/>
    <n v="0.14000000000000001"/>
    <n v="24023.38"/>
    <n v="7092.75"/>
    <n v="31116.13"/>
  </r>
  <r>
    <x v="194"/>
    <x v="152"/>
    <n v="2024"/>
    <x v="9"/>
    <x v="1"/>
    <x v="1"/>
    <x v="0"/>
    <x v="1"/>
    <x v="2"/>
    <x v="194"/>
    <n v="7"/>
    <n v="7.0000000000000007E-2"/>
    <n v="11707.12"/>
    <n v="8741.48"/>
    <n v="2921.2285714285713"/>
  </r>
  <r>
    <x v="195"/>
    <x v="153"/>
    <n v="2024"/>
    <x v="8"/>
    <x v="0"/>
    <x v="4"/>
    <x v="2"/>
    <x v="0"/>
    <x v="2"/>
    <x v="195"/>
    <n v="10"/>
    <n v="0.17"/>
    <n v="11865.31"/>
    <n v="5954.2"/>
    <n v="1781.9509999999998"/>
  </r>
  <r>
    <x v="196"/>
    <x v="154"/>
    <n v="2024"/>
    <x v="10"/>
    <x v="1"/>
    <x v="0"/>
    <x v="2"/>
    <x v="5"/>
    <x v="0"/>
    <x v="196"/>
    <n v="7"/>
    <n v="0.22"/>
    <n v="12908.99"/>
    <n v="10351.66"/>
    <n v="3322.9500000000003"/>
  </r>
  <r>
    <x v="197"/>
    <x v="6"/>
    <n v="2024"/>
    <x v="5"/>
    <x v="2"/>
    <x v="0"/>
    <x v="1"/>
    <x v="3"/>
    <x v="1"/>
    <x v="197"/>
    <n v="2"/>
    <n v="0.02"/>
    <n v="19697.009999999998"/>
    <n v="7018.67"/>
    <n v="13357.84"/>
  </r>
  <r>
    <x v="198"/>
    <x v="155"/>
    <n v="2024"/>
    <x v="2"/>
    <x v="2"/>
    <x v="2"/>
    <x v="0"/>
    <x v="5"/>
    <x v="1"/>
    <x v="198"/>
    <n v="3"/>
    <n v="0.22"/>
    <n v="18119.66"/>
    <n v="4549.34"/>
    <n v="7556.333333333333"/>
  </r>
  <r>
    <x v="199"/>
    <x v="156"/>
    <n v="2024"/>
    <x v="7"/>
    <x v="3"/>
    <x v="3"/>
    <x v="0"/>
    <x v="4"/>
    <x v="0"/>
    <x v="199"/>
    <n v="2"/>
    <n v="0.03"/>
    <n v="16368.5"/>
    <n v="11707.53"/>
    <n v="14038.014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61B72F-C7B7-4CA2-B215-185253ADB43B}"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B24" firstHeaderRow="1" firstDataRow="1" firstDataCol="1"/>
  <pivotFields count="17">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22" showAll="0">
      <items count="158">
        <item x="15"/>
        <item x="140"/>
        <item x="56"/>
        <item x="108"/>
        <item x="19"/>
        <item x="155"/>
        <item x="151"/>
        <item x="45"/>
        <item x="69"/>
        <item x="107"/>
        <item x="55"/>
        <item x="64"/>
        <item x="8"/>
        <item x="2"/>
        <item x="149"/>
        <item x="98"/>
        <item x="57"/>
        <item x="79"/>
        <item x="32"/>
        <item x="85"/>
        <item x="11"/>
        <item x="83"/>
        <item x="21"/>
        <item x="132"/>
        <item x="67"/>
        <item x="143"/>
        <item x="109"/>
        <item x="82"/>
        <item x="127"/>
        <item x="146"/>
        <item x="3"/>
        <item x="14"/>
        <item x="43"/>
        <item x="9"/>
        <item x="16"/>
        <item x="113"/>
        <item x="128"/>
        <item x="63"/>
        <item x="117"/>
        <item x="112"/>
        <item x="41"/>
        <item x="136"/>
        <item x="95"/>
        <item x="5"/>
        <item x="110"/>
        <item x="105"/>
        <item x="70"/>
        <item x="73"/>
        <item x="27"/>
        <item x="133"/>
        <item x="130"/>
        <item x="65"/>
        <item x="121"/>
        <item x="58"/>
        <item x="75"/>
        <item x="62"/>
        <item x="86"/>
        <item x="104"/>
        <item x="92"/>
        <item x="89"/>
        <item x="34"/>
        <item x="74"/>
        <item x="52"/>
        <item x="49"/>
        <item x="25"/>
        <item x="144"/>
        <item x="150"/>
        <item x="118"/>
        <item x="131"/>
        <item x="90"/>
        <item x="13"/>
        <item x="97"/>
        <item x="0"/>
        <item x="96"/>
        <item x="111"/>
        <item x="26"/>
        <item x="7"/>
        <item x="123"/>
        <item x="29"/>
        <item x="101"/>
        <item x="22"/>
        <item x="39"/>
        <item x="36"/>
        <item x="1"/>
        <item x="94"/>
        <item x="91"/>
        <item x="122"/>
        <item x="31"/>
        <item x="66"/>
        <item x="142"/>
        <item x="93"/>
        <item x="4"/>
        <item x="102"/>
        <item x="84"/>
        <item x="12"/>
        <item x="54"/>
        <item x="51"/>
        <item x="116"/>
        <item x="103"/>
        <item x="60"/>
        <item x="125"/>
        <item x="46"/>
        <item x="106"/>
        <item x="156"/>
        <item x="50"/>
        <item x="18"/>
        <item x="28"/>
        <item x="42"/>
        <item x="152"/>
        <item x="145"/>
        <item x="38"/>
        <item x="33"/>
        <item x="115"/>
        <item x="137"/>
        <item x="148"/>
        <item x="138"/>
        <item x="68"/>
        <item x="20"/>
        <item x="76"/>
        <item x="44"/>
        <item x="99"/>
        <item x="88"/>
        <item x="59"/>
        <item x="141"/>
        <item x="129"/>
        <item x="30"/>
        <item x="47"/>
        <item x="124"/>
        <item x="154"/>
        <item x="81"/>
        <item x="80"/>
        <item x="120"/>
        <item x="77"/>
        <item x="153"/>
        <item x="17"/>
        <item x="24"/>
        <item x="147"/>
        <item x="78"/>
        <item x="48"/>
        <item x="100"/>
        <item x="72"/>
        <item x="23"/>
        <item x="61"/>
        <item x="114"/>
        <item x="71"/>
        <item x="87"/>
        <item x="126"/>
        <item x="37"/>
        <item x="139"/>
        <item x="35"/>
        <item x="10"/>
        <item x="6"/>
        <item x="40"/>
        <item x="135"/>
        <item x="53"/>
        <item x="134"/>
        <item x="119"/>
        <item t="default"/>
      </items>
    </pivotField>
    <pivotField showAll="0"/>
    <pivotField showAll="0"/>
    <pivotField showAll="0"/>
    <pivotField axis="axisRow" showAll="0">
      <items count="6">
        <item x="3"/>
        <item x="2"/>
        <item x="1"/>
        <item x="0"/>
        <item x="4"/>
        <item t="default"/>
      </items>
    </pivotField>
    <pivotField showAll="0"/>
    <pivotField showAll="0"/>
    <pivotField showAll="0"/>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Sum of Sales" fld="9" baseField="0" baseItem="0"/>
  </dataField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 chart="1" format="6">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90D38C-CDA8-4A49-878F-75AA418FF589}"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2:E16" firstHeaderRow="1" firstDataRow="1" firstDataCol="1"/>
  <pivotFields count="17">
    <pivotField showAll="0"/>
    <pivotField numFmtId="22" showAll="0">
      <items count="158">
        <item x="15"/>
        <item x="140"/>
        <item x="56"/>
        <item x="108"/>
        <item x="19"/>
        <item x="155"/>
        <item x="151"/>
        <item x="45"/>
        <item x="69"/>
        <item x="107"/>
        <item x="55"/>
        <item x="64"/>
        <item x="8"/>
        <item x="2"/>
        <item x="149"/>
        <item x="98"/>
        <item x="57"/>
        <item x="79"/>
        <item x="32"/>
        <item x="85"/>
        <item x="11"/>
        <item x="83"/>
        <item x="21"/>
        <item x="132"/>
        <item x="67"/>
        <item x="143"/>
        <item x="109"/>
        <item x="82"/>
        <item x="127"/>
        <item x="146"/>
        <item x="3"/>
        <item x="14"/>
        <item x="43"/>
        <item x="9"/>
        <item x="16"/>
        <item x="113"/>
        <item x="128"/>
        <item x="63"/>
        <item x="117"/>
        <item x="112"/>
        <item x="41"/>
        <item x="136"/>
        <item x="95"/>
        <item x="5"/>
        <item x="110"/>
        <item x="105"/>
        <item x="70"/>
        <item x="73"/>
        <item x="27"/>
        <item x="133"/>
        <item x="130"/>
        <item x="65"/>
        <item x="121"/>
        <item x="58"/>
        <item x="75"/>
        <item x="62"/>
        <item x="86"/>
        <item x="104"/>
        <item x="92"/>
        <item x="89"/>
        <item x="34"/>
        <item x="74"/>
        <item x="52"/>
        <item x="49"/>
        <item x="25"/>
        <item x="144"/>
        <item x="150"/>
        <item x="118"/>
        <item x="131"/>
        <item x="90"/>
        <item x="13"/>
        <item x="97"/>
        <item x="0"/>
        <item x="96"/>
        <item x="111"/>
        <item x="26"/>
        <item x="7"/>
        <item x="123"/>
        <item x="29"/>
        <item x="101"/>
        <item x="22"/>
        <item x="39"/>
        <item x="36"/>
        <item x="1"/>
        <item x="94"/>
        <item x="91"/>
        <item x="122"/>
        <item x="31"/>
        <item x="66"/>
        <item x="142"/>
        <item x="93"/>
        <item x="4"/>
        <item x="102"/>
        <item x="84"/>
        <item x="12"/>
        <item x="54"/>
        <item x="51"/>
        <item x="116"/>
        <item x="103"/>
        <item x="60"/>
        <item x="125"/>
        <item x="46"/>
        <item x="106"/>
        <item x="156"/>
        <item x="50"/>
        <item x="18"/>
        <item x="28"/>
        <item x="42"/>
        <item x="152"/>
        <item x="145"/>
        <item x="38"/>
        <item x="33"/>
        <item x="115"/>
        <item x="137"/>
        <item x="148"/>
        <item x="138"/>
        <item x="68"/>
        <item x="20"/>
        <item x="76"/>
        <item x="44"/>
        <item x="99"/>
        <item x="88"/>
        <item x="59"/>
        <item x="141"/>
        <item x="129"/>
        <item x="30"/>
        <item x="47"/>
        <item x="124"/>
        <item x="154"/>
        <item x="81"/>
        <item x="80"/>
        <item x="120"/>
        <item x="77"/>
        <item x="153"/>
        <item x="17"/>
        <item x="24"/>
        <item x="147"/>
        <item x="78"/>
        <item x="48"/>
        <item x="100"/>
        <item x="72"/>
        <item x="23"/>
        <item x="61"/>
        <item x="114"/>
        <item x="71"/>
        <item x="87"/>
        <item x="126"/>
        <item x="37"/>
        <item x="139"/>
        <item x="35"/>
        <item x="10"/>
        <item x="6"/>
        <item x="40"/>
        <item x="135"/>
        <item x="53"/>
        <item x="134"/>
        <item x="119"/>
        <item t="default"/>
      </items>
    </pivotField>
    <pivotField showAll="0"/>
    <pivotField showAll="0"/>
    <pivotField showAll="0"/>
    <pivotField showAll="0"/>
    <pivotField showAll="0">
      <items count="4">
        <item x="0"/>
        <item x="1"/>
        <item x="2"/>
        <item t="default"/>
      </items>
    </pivotField>
    <pivotField showAll="0"/>
    <pivotField axis="axisRow" showAll="0">
      <items count="4">
        <item x="2"/>
        <item x="0"/>
        <item x="1"/>
        <item t="default"/>
      </items>
    </pivotField>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Sum of Quantity" fld="10"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C526EC-8063-4FBF-B598-4AE3560E31C0}"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34" firstHeaderRow="1" firstDataRow="1" firstDataCol="1"/>
  <pivotFields count="17">
    <pivotField showAll="0"/>
    <pivotField numFmtId="22" showAll="0">
      <items count="158">
        <item x="15"/>
        <item x="140"/>
        <item x="56"/>
        <item x="108"/>
        <item x="19"/>
        <item x="155"/>
        <item x="151"/>
        <item x="45"/>
        <item x="69"/>
        <item x="107"/>
        <item x="55"/>
        <item x="64"/>
        <item x="8"/>
        <item x="2"/>
        <item x="149"/>
        <item x="98"/>
        <item x="57"/>
        <item x="79"/>
        <item x="32"/>
        <item x="85"/>
        <item x="11"/>
        <item x="83"/>
        <item x="21"/>
        <item x="132"/>
        <item x="67"/>
        <item x="143"/>
        <item x="109"/>
        <item x="82"/>
        <item x="127"/>
        <item x="146"/>
        <item x="3"/>
        <item x="14"/>
        <item x="43"/>
        <item x="9"/>
        <item x="16"/>
        <item x="113"/>
        <item x="128"/>
        <item x="63"/>
        <item x="117"/>
        <item x="112"/>
        <item x="41"/>
        <item x="136"/>
        <item x="95"/>
        <item x="5"/>
        <item x="110"/>
        <item x="105"/>
        <item x="70"/>
        <item x="73"/>
        <item x="27"/>
        <item x="133"/>
        <item x="130"/>
        <item x="65"/>
        <item x="121"/>
        <item x="58"/>
        <item x="75"/>
        <item x="62"/>
        <item x="86"/>
        <item x="104"/>
        <item x="92"/>
        <item x="89"/>
        <item x="34"/>
        <item x="74"/>
        <item x="52"/>
        <item x="49"/>
        <item x="25"/>
        <item x="144"/>
        <item x="150"/>
        <item x="118"/>
        <item x="131"/>
        <item x="90"/>
        <item x="13"/>
        <item x="97"/>
        <item x="0"/>
        <item x="96"/>
        <item x="111"/>
        <item x="26"/>
        <item x="7"/>
        <item x="123"/>
        <item x="29"/>
        <item x="101"/>
        <item x="22"/>
        <item x="39"/>
        <item x="36"/>
        <item x="1"/>
        <item x="94"/>
        <item x="91"/>
        <item x="122"/>
        <item x="31"/>
        <item x="66"/>
        <item x="142"/>
        <item x="93"/>
        <item x="4"/>
        <item x="102"/>
        <item x="84"/>
        <item x="12"/>
        <item x="54"/>
        <item x="51"/>
        <item x="116"/>
        <item x="103"/>
        <item x="60"/>
        <item x="125"/>
        <item x="46"/>
        <item x="106"/>
        <item x="156"/>
        <item x="50"/>
        <item x="18"/>
        <item x="28"/>
        <item x="42"/>
        <item x="152"/>
        <item x="145"/>
        <item x="38"/>
        <item x="33"/>
        <item x="115"/>
        <item x="137"/>
        <item x="148"/>
        <item x="138"/>
        <item x="68"/>
        <item x="20"/>
        <item x="76"/>
        <item x="44"/>
        <item x="99"/>
        <item x="88"/>
        <item x="59"/>
        <item x="141"/>
        <item x="129"/>
        <item x="30"/>
        <item x="47"/>
        <item x="124"/>
        <item x="154"/>
        <item x="81"/>
        <item x="80"/>
        <item x="120"/>
        <item x="77"/>
        <item x="153"/>
        <item x="17"/>
        <item x="24"/>
        <item x="147"/>
        <item x="78"/>
        <item x="48"/>
        <item x="100"/>
        <item x="72"/>
        <item x="23"/>
        <item x="61"/>
        <item x="114"/>
        <item x="71"/>
        <item x="87"/>
        <item x="126"/>
        <item x="37"/>
        <item x="139"/>
        <item x="35"/>
        <item x="10"/>
        <item x="6"/>
        <item x="40"/>
        <item x="135"/>
        <item x="53"/>
        <item x="134"/>
        <item x="119"/>
        <item t="default"/>
      </items>
    </pivotField>
    <pivotField showAll="0"/>
    <pivotField showAll="0"/>
    <pivotField axis="axisRow" showAll="0">
      <items count="6">
        <item x="2"/>
        <item x="1"/>
        <item x="0"/>
        <item x="3"/>
        <item x="4"/>
        <item t="default"/>
      </items>
    </pivotField>
    <pivotField axis="axisRow" showAll="0">
      <items count="6">
        <item x="3"/>
        <item x="2"/>
        <item x="1"/>
        <item x="0"/>
        <item x="4"/>
        <item t="default"/>
      </items>
    </pivotField>
    <pivotField showAll="0"/>
    <pivotField showAll="0"/>
    <pivotField showAll="0"/>
    <pivotField showAll="0">
      <items count="201">
        <item x="108"/>
        <item x="116"/>
        <item x="120"/>
        <item x="179"/>
        <item x="145"/>
        <item x="56"/>
        <item x="97"/>
        <item x="114"/>
        <item x="22"/>
        <item x="96"/>
        <item x="178"/>
        <item x="182"/>
        <item x="121"/>
        <item x="159"/>
        <item x="85"/>
        <item x="11"/>
        <item x="105"/>
        <item x="2"/>
        <item x="139"/>
        <item x="127"/>
        <item x="135"/>
        <item x="158"/>
        <item x="155"/>
        <item x="15"/>
        <item x="77"/>
        <item x="151"/>
        <item x="138"/>
        <item x="8"/>
        <item x="170"/>
        <item x="165"/>
        <item x="191"/>
        <item x="154"/>
        <item x="49"/>
        <item x="132"/>
        <item x="156"/>
        <item x="60"/>
        <item x="29"/>
        <item x="80"/>
        <item x="169"/>
        <item x="71"/>
        <item x="55"/>
        <item x="94"/>
        <item x="189"/>
        <item x="35"/>
        <item x="90"/>
        <item x="187"/>
        <item x="95"/>
        <item x="39"/>
        <item x="13"/>
        <item x="59"/>
        <item x="53"/>
        <item x="148"/>
        <item x="140"/>
        <item x="63"/>
        <item x="7"/>
        <item x="9"/>
        <item x="65"/>
        <item x="130"/>
        <item x="45"/>
        <item x="110"/>
        <item x="101"/>
        <item x="125"/>
        <item x="30"/>
        <item x="183"/>
        <item x="86"/>
        <item x="44"/>
        <item x="172"/>
        <item x="175"/>
        <item x="42"/>
        <item x="152"/>
        <item x="18"/>
        <item x="144"/>
        <item x="5"/>
        <item x="102"/>
        <item x="111"/>
        <item x="19"/>
        <item x="176"/>
        <item x="167"/>
        <item x="181"/>
        <item x="84"/>
        <item x="68"/>
        <item x="123"/>
        <item x="36"/>
        <item x="126"/>
        <item x="51"/>
        <item x="48"/>
        <item x="78"/>
        <item x="72"/>
        <item x="88"/>
        <item x="163"/>
        <item x="195"/>
        <item x="52"/>
        <item x="26"/>
        <item x="166"/>
        <item x="41"/>
        <item x="12"/>
        <item x="38"/>
        <item x="4"/>
        <item x="67"/>
        <item x="50"/>
        <item x="0"/>
        <item x="99"/>
        <item x="173"/>
        <item x="194"/>
        <item x="128"/>
        <item x="186"/>
        <item x="43"/>
        <item x="75"/>
        <item x="134"/>
        <item x="141"/>
        <item x="122"/>
        <item x="70"/>
        <item x="64"/>
        <item x="14"/>
        <item x="168"/>
        <item x="28"/>
        <item x="32"/>
        <item x="107"/>
        <item x="198"/>
        <item x="177"/>
        <item x="196"/>
        <item x="147"/>
        <item x="61"/>
        <item x="31"/>
        <item x="146"/>
        <item x="118"/>
        <item x="20"/>
        <item x="149"/>
        <item x="109"/>
        <item x="160"/>
        <item x="119"/>
        <item x="180"/>
        <item x="69"/>
        <item x="76"/>
        <item x="197"/>
        <item x="46"/>
        <item x="10"/>
        <item x="23"/>
        <item x="115"/>
        <item x="83"/>
        <item x="184"/>
        <item x="199"/>
        <item x="57"/>
        <item x="34"/>
        <item x="93"/>
        <item x="21"/>
        <item x="98"/>
        <item x="87"/>
        <item x="66"/>
        <item x="58"/>
        <item x="113"/>
        <item x="162"/>
        <item x="190"/>
        <item x="185"/>
        <item x="100"/>
        <item x="161"/>
        <item x="54"/>
        <item x="157"/>
        <item x="193"/>
        <item x="16"/>
        <item x="37"/>
        <item x="6"/>
        <item x="106"/>
        <item x="136"/>
        <item x="131"/>
        <item x="25"/>
        <item x="47"/>
        <item x="74"/>
        <item x="33"/>
        <item x="89"/>
        <item x="1"/>
        <item x="24"/>
        <item x="124"/>
        <item x="27"/>
        <item x="91"/>
        <item x="188"/>
        <item x="153"/>
        <item x="82"/>
        <item x="92"/>
        <item x="143"/>
        <item x="133"/>
        <item x="117"/>
        <item x="137"/>
        <item x="103"/>
        <item x="79"/>
        <item x="174"/>
        <item x="164"/>
        <item x="62"/>
        <item x="17"/>
        <item x="192"/>
        <item x="40"/>
        <item x="142"/>
        <item x="3"/>
        <item x="129"/>
        <item x="73"/>
        <item x="112"/>
        <item x="150"/>
        <item x="81"/>
        <item x="171"/>
        <item x="104"/>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2">
    <field x="5"/>
    <field x="4"/>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Unit Price" fld="14"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7AC107-0EF2-4AE4-89D6-CE53D822F32F}"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70" firstHeaderRow="1" firstDataRow="1" firstDataCol="1"/>
  <pivotFields count="17">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22" showAll="0">
      <items count="158">
        <item x="15"/>
        <item x="140"/>
        <item x="56"/>
        <item x="108"/>
        <item x="19"/>
        <item x="155"/>
        <item x="151"/>
        <item x="45"/>
        <item x="69"/>
        <item x="107"/>
        <item x="55"/>
        <item x="64"/>
        <item x="8"/>
        <item x="2"/>
        <item x="149"/>
        <item x="98"/>
        <item x="57"/>
        <item x="79"/>
        <item x="32"/>
        <item x="85"/>
        <item x="11"/>
        <item x="83"/>
        <item x="21"/>
        <item x="132"/>
        <item x="67"/>
        <item x="143"/>
        <item x="109"/>
        <item x="82"/>
        <item x="127"/>
        <item x="146"/>
        <item x="3"/>
        <item x="14"/>
        <item x="43"/>
        <item x="9"/>
        <item x="16"/>
        <item x="113"/>
        <item x="128"/>
        <item x="63"/>
        <item x="117"/>
        <item x="112"/>
        <item x="41"/>
        <item x="136"/>
        <item x="95"/>
        <item x="5"/>
        <item x="110"/>
        <item x="105"/>
        <item x="70"/>
        <item x="73"/>
        <item x="27"/>
        <item x="133"/>
        <item x="130"/>
        <item x="65"/>
        <item x="121"/>
        <item x="58"/>
        <item x="75"/>
        <item x="62"/>
        <item x="86"/>
        <item x="104"/>
        <item x="92"/>
        <item x="89"/>
        <item x="34"/>
        <item x="74"/>
        <item x="52"/>
        <item x="49"/>
        <item x="25"/>
        <item x="144"/>
        <item x="150"/>
        <item x="118"/>
        <item x="131"/>
        <item x="90"/>
        <item x="13"/>
        <item x="97"/>
        <item x="0"/>
        <item x="96"/>
        <item x="111"/>
        <item x="26"/>
        <item x="7"/>
        <item x="123"/>
        <item x="29"/>
        <item x="101"/>
        <item x="22"/>
        <item x="39"/>
        <item x="36"/>
        <item x="1"/>
        <item x="94"/>
        <item x="91"/>
        <item x="122"/>
        <item x="31"/>
        <item x="66"/>
        <item x="142"/>
        <item x="93"/>
        <item x="4"/>
        <item x="102"/>
        <item x="84"/>
        <item x="12"/>
        <item x="54"/>
        <item x="51"/>
        <item x="116"/>
        <item x="103"/>
        <item x="60"/>
        <item x="125"/>
        <item x="46"/>
        <item x="106"/>
        <item x="156"/>
        <item x="50"/>
        <item x="18"/>
        <item x="28"/>
        <item x="42"/>
        <item x="152"/>
        <item x="145"/>
        <item x="38"/>
        <item x="33"/>
        <item x="115"/>
        <item x="137"/>
        <item x="148"/>
        <item x="138"/>
        <item x="68"/>
        <item x="20"/>
        <item x="76"/>
        <item x="44"/>
        <item x="99"/>
        <item x="88"/>
        <item x="59"/>
        <item x="141"/>
        <item x="129"/>
        <item x="30"/>
        <item x="47"/>
        <item x="124"/>
        <item x="154"/>
        <item x="81"/>
        <item x="80"/>
        <item x="120"/>
        <item x="77"/>
        <item x="153"/>
        <item x="17"/>
        <item x="24"/>
        <item x="147"/>
        <item x="78"/>
        <item x="48"/>
        <item x="100"/>
        <item x="72"/>
        <item x="23"/>
        <item x="61"/>
        <item x="114"/>
        <item x="71"/>
        <item x="87"/>
        <item x="126"/>
        <item x="37"/>
        <item x="139"/>
        <item x="35"/>
        <item x="10"/>
        <item x="6"/>
        <item x="40"/>
        <item x="135"/>
        <item x="53"/>
        <item x="134"/>
        <item x="119"/>
        <item t="default"/>
      </items>
    </pivotField>
    <pivotField showAll="0"/>
    <pivotField showAll="0"/>
    <pivotField showAll="0"/>
    <pivotField showAll="0"/>
    <pivotField axis="axisRow" showAll="0">
      <items count="4">
        <item x="0"/>
        <item x="1"/>
        <item x="2"/>
        <item t="default"/>
      </items>
    </pivotField>
    <pivotField axis="axisRow" showAll="0">
      <items count="7">
        <item x="3"/>
        <item x="2"/>
        <item x="5"/>
        <item x="4"/>
        <item x="0"/>
        <item x="1"/>
        <item t="default"/>
      </items>
    </pivotField>
    <pivotField axis="axisRow" showAll="0">
      <items count="4">
        <item x="2"/>
        <item x="0"/>
        <item x="1"/>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3">
    <field x="8"/>
    <field x="6"/>
    <field x="7"/>
  </rowFields>
  <rowItems count="67">
    <i>
      <x/>
    </i>
    <i r="1">
      <x/>
    </i>
    <i r="2">
      <x/>
    </i>
    <i r="2">
      <x v="1"/>
    </i>
    <i r="2">
      <x v="2"/>
    </i>
    <i r="2">
      <x v="3"/>
    </i>
    <i r="2">
      <x v="4"/>
    </i>
    <i r="2">
      <x v="5"/>
    </i>
    <i r="1">
      <x v="1"/>
    </i>
    <i r="2">
      <x/>
    </i>
    <i r="2">
      <x v="1"/>
    </i>
    <i r="2">
      <x v="2"/>
    </i>
    <i r="2">
      <x v="3"/>
    </i>
    <i r="2">
      <x v="4"/>
    </i>
    <i r="2">
      <x v="5"/>
    </i>
    <i r="1">
      <x v="2"/>
    </i>
    <i r="2">
      <x/>
    </i>
    <i r="2">
      <x v="1"/>
    </i>
    <i r="2">
      <x v="2"/>
    </i>
    <i r="2">
      <x v="3"/>
    </i>
    <i r="2">
      <x v="4"/>
    </i>
    <i r="2">
      <x v="5"/>
    </i>
    <i>
      <x v="1"/>
    </i>
    <i r="1">
      <x/>
    </i>
    <i r="2">
      <x/>
    </i>
    <i r="2">
      <x v="1"/>
    </i>
    <i r="2">
      <x v="2"/>
    </i>
    <i r="2">
      <x v="3"/>
    </i>
    <i r="2">
      <x v="4"/>
    </i>
    <i r="2">
      <x v="5"/>
    </i>
    <i r="1">
      <x v="1"/>
    </i>
    <i r="2">
      <x/>
    </i>
    <i r="2">
      <x v="1"/>
    </i>
    <i r="2">
      <x v="2"/>
    </i>
    <i r="2">
      <x v="3"/>
    </i>
    <i r="2">
      <x v="4"/>
    </i>
    <i r="2">
      <x v="5"/>
    </i>
    <i r="1">
      <x v="2"/>
    </i>
    <i r="2">
      <x/>
    </i>
    <i r="2">
      <x v="1"/>
    </i>
    <i r="2">
      <x v="2"/>
    </i>
    <i r="2">
      <x v="3"/>
    </i>
    <i r="2">
      <x v="4"/>
    </i>
    <i r="2">
      <x v="5"/>
    </i>
    <i>
      <x v="2"/>
    </i>
    <i r="1">
      <x/>
    </i>
    <i r="2">
      <x/>
    </i>
    <i r="2">
      <x v="1"/>
    </i>
    <i r="2">
      <x v="2"/>
    </i>
    <i r="2">
      <x v="3"/>
    </i>
    <i r="2">
      <x v="4"/>
    </i>
    <i r="2">
      <x v="5"/>
    </i>
    <i r="1">
      <x v="1"/>
    </i>
    <i r="2">
      <x/>
    </i>
    <i r="2">
      <x v="1"/>
    </i>
    <i r="2">
      <x v="2"/>
    </i>
    <i r="2">
      <x v="3"/>
    </i>
    <i r="2">
      <x v="4"/>
    </i>
    <i r="2">
      <x v="5"/>
    </i>
    <i r="1">
      <x v="2"/>
    </i>
    <i r="2">
      <x/>
    </i>
    <i r="2">
      <x v="1"/>
    </i>
    <i r="2">
      <x v="2"/>
    </i>
    <i r="2">
      <x v="3"/>
    </i>
    <i r="2">
      <x v="4"/>
    </i>
    <i r="2">
      <x v="5"/>
    </i>
    <i t="grand">
      <x/>
    </i>
  </rowItems>
  <colItems count="1">
    <i/>
  </colItems>
  <dataFields count="1">
    <dataField name="Sum of Cost" fld="12"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5763CC-6CD3-4DD9-A835-656AB8A38E07}"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9" firstHeaderRow="1" firstDataRow="1" firstDataCol="1"/>
  <pivotFields count="17">
    <pivotField showAll="0"/>
    <pivotField numFmtId="22" showAll="0">
      <items count="158">
        <item x="15"/>
        <item x="140"/>
        <item x="56"/>
        <item x="108"/>
        <item x="19"/>
        <item x="155"/>
        <item x="151"/>
        <item x="45"/>
        <item x="69"/>
        <item x="107"/>
        <item x="55"/>
        <item x="64"/>
        <item x="8"/>
        <item x="2"/>
        <item x="149"/>
        <item x="98"/>
        <item x="57"/>
        <item x="79"/>
        <item x="32"/>
        <item x="85"/>
        <item x="11"/>
        <item x="83"/>
        <item x="21"/>
        <item x="132"/>
        <item x="67"/>
        <item x="143"/>
        <item x="109"/>
        <item x="82"/>
        <item x="127"/>
        <item x="146"/>
        <item x="3"/>
        <item x="14"/>
        <item x="43"/>
        <item x="9"/>
        <item x="16"/>
        <item x="113"/>
        <item x="128"/>
        <item x="63"/>
        <item x="117"/>
        <item x="112"/>
        <item x="41"/>
        <item x="136"/>
        <item x="95"/>
        <item x="5"/>
        <item x="110"/>
        <item x="105"/>
        <item x="70"/>
        <item x="73"/>
        <item x="27"/>
        <item x="133"/>
        <item x="130"/>
        <item x="65"/>
        <item x="121"/>
        <item x="58"/>
        <item x="75"/>
        <item x="62"/>
        <item x="86"/>
        <item x="104"/>
        <item x="92"/>
        <item x="89"/>
        <item x="34"/>
        <item x="74"/>
        <item x="52"/>
        <item x="49"/>
        <item x="25"/>
        <item x="144"/>
        <item x="150"/>
        <item x="118"/>
        <item x="131"/>
        <item x="90"/>
        <item x="13"/>
        <item x="97"/>
        <item x="0"/>
        <item x="96"/>
        <item x="111"/>
        <item x="26"/>
        <item x="7"/>
        <item x="123"/>
        <item x="29"/>
        <item x="101"/>
        <item x="22"/>
        <item x="39"/>
        <item x="36"/>
        <item x="1"/>
        <item x="94"/>
        <item x="91"/>
        <item x="122"/>
        <item x="31"/>
        <item x="66"/>
        <item x="142"/>
        <item x="93"/>
        <item x="4"/>
        <item x="102"/>
        <item x="84"/>
        <item x="12"/>
        <item x="54"/>
        <item x="51"/>
        <item x="116"/>
        <item x="103"/>
        <item x="60"/>
        <item x="125"/>
        <item x="46"/>
        <item x="106"/>
        <item x="156"/>
        <item x="50"/>
        <item x="18"/>
        <item x="28"/>
        <item x="42"/>
        <item x="152"/>
        <item x="145"/>
        <item x="38"/>
        <item x="33"/>
        <item x="115"/>
        <item x="137"/>
        <item x="148"/>
        <item x="138"/>
        <item x="68"/>
        <item x="20"/>
        <item x="76"/>
        <item x="44"/>
        <item x="99"/>
        <item x="88"/>
        <item x="59"/>
        <item x="141"/>
        <item x="129"/>
        <item x="30"/>
        <item x="47"/>
        <item x="124"/>
        <item x="154"/>
        <item x="81"/>
        <item x="80"/>
        <item x="120"/>
        <item x="77"/>
        <item x="153"/>
        <item x="17"/>
        <item x="24"/>
        <item x="147"/>
        <item x="78"/>
        <item x="48"/>
        <item x="100"/>
        <item x="72"/>
        <item x="23"/>
        <item x="61"/>
        <item x="114"/>
        <item x="71"/>
        <item x="87"/>
        <item x="126"/>
        <item x="37"/>
        <item x="139"/>
        <item x="35"/>
        <item x="10"/>
        <item x="6"/>
        <item x="40"/>
        <item x="135"/>
        <item x="53"/>
        <item x="134"/>
        <item x="119"/>
        <item t="default"/>
      </items>
    </pivotField>
    <pivotField showAll="0"/>
    <pivotField showAll="0"/>
    <pivotField axis="axisRow" showAll="0">
      <items count="6">
        <item x="2"/>
        <item x="1"/>
        <item x="0"/>
        <item x="3"/>
        <item x="4"/>
        <item t="default"/>
      </items>
    </pivotField>
    <pivotField showAll="0">
      <items count="6">
        <item x="3"/>
        <item x="2"/>
        <item x="1"/>
        <item x="0"/>
        <item x="4"/>
        <item t="default"/>
      </items>
    </pivotField>
    <pivotField showAll="0">
      <items count="4">
        <item x="0"/>
        <item x="1"/>
        <item x="2"/>
        <item t="default"/>
      </items>
    </pivotField>
    <pivotField showAll="0">
      <items count="7">
        <item x="3"/>
        <item x="2"/>
        <item x="5"/>
        <item x="4"/>
        <item x="0"/>
        <item x="1"/>
        <item t="default"/>
      </items>
    </pivotField>
    <pivotField showAll="0">
      <items count="4">
        <item x="2"/>
        <item x="0"/>
        <item x="1"/>
        <item t="default"/>
      </items>
    </pivotField>
    <pivotField dataField="1"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6">
    <i>
      <x/>
    </i>
    <i>
      <x v="1"/>
    </i>
    <i>
      <x v="2"/>
    </i>
    <i>
      <x v="3"/>
    </i>
    <i>
      <x v="4"/>
    </i>
    <i t="grand">
      <x/>
    </i>
  </rowItems>
  <colItems count="1">
    <i/>
  </colItems>
  <dataFields count="1">
    <dataField name="Sum of Sales" fld="9"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A8AB40-81B9-40B9-B616-DB99317E646B}"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7">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22" showAll="0">
      <items count="158">
        <item x="15"/>
        <item x="140"/>
        <item x="56"/>
        <item x="108"/>
        <item x="19"/>
        <item x="155"/>
        <item x="151"/>
        <item x="45"/>
        <item x="69"/>
        <item x="107"/>
        <item x="55"/>
        <item x="64"/>
        <item x="8"/>
        <item x="2"/>
        <item x="149"/>
        <item x="98"/>
        <item x="57"/>
        <item x="79"/>
        <item x="32"/>
        <item x="85"/>
        <item x="11"/>
        <item x="83"/>
        <item x="21"/>
        <item x="132"/>
        <item x="67"/>
        <item x="143"/>
        <item x="109"/>
        <item x="82"/>
        <item x="127"/>
        <item x="146"/>
        <item x="3"/>
        <item x="14"/>
        <item x="43"/>
        <item x="9"/>
        <item x="16"/>
        <item x="113"/>
        <item x="128"/>
        <item x="63"/>
        <item x="117"/>
        <item x="112"/>
        <item x="41"/>
        <item x="136"/>
        <item x="95"/>
        <item x="5"/>
        <item x="110"/>
        <item x="105"/>
        <item x="70"/>
        <item x="73"/>
        <item x="27"/>
        <item x="133"/>
        <item x="130"/>
        <item x="65"/>
        <item x="121"/>
        <item x="58"/>
        <item x="75"/>
        <item x="62"/>
        <item x="86"/>
        <item x="104"/>
        <item x="92"/>
        <item x="89"/>
        <item x="34"/>
        <item x="74"/>
        <item x="52"/>
        <item x="49"/>
        <item x="25"/>
        <item x="144"/>
        <item x="150"/>
        <item x="118"/>
        <item x="131"/>
        <item x="90"/>
        <item x="13"/>
        <item x="97"/>
        <item x="0"/>
        <item x="96"/>
        <item x="111"/>
        <item x="26"/>
        <item x="7"/>
        <item x="123"/>
        <item x="29"/>
        <item x="101"/>
        <item x="22"/>
        <item x="39"/>
        <item x="36"/>
        <item x="1"/>
        <item x="94"/>
        <item x="91"/>
        <item x="122"/>
        <item x="31"/>
        <item x="66"/>
        <item x="142"/>
        <item x="93"/>
        <item x="4"/>
        <item x="102"/>
        <item x="84"/>
        <item x="12"/>
        <item x="54"/>
        <item x="51"/>
        <item x="116"/>
        <item x="103"/>
        <item x="60"/>
        <item x="125"/>
        <item x="46"/>
        <item x="106"/>
        <item x="156"/>
        <item x="50"/>
        <item x="18"/>
        <item x="28"/>
        <item x="42"/>
        <item x="152"/>
        <item x="145"/>
        <item x="38"/>
        <item x="33"/>
        <item x="115"/>
        <item x="137"/>
        <item x="148"/>
        <item x="138"/>
        <item x="68"/>
        <item x="20"/>
        <item x="76"/>
        <item x="44"/>
        <item x="99"/>
        <item x="88"/>
        <item x="59"/>
        <item x="141"/>
        <item x="129"/>
        <item x="30"/>
        <item x="47"/>
        <item x="124"/>
        <item x="154"/>
        <item x="81"/>
        <item x="80"/>
        <item x="120"/>
        <item x="77"/>
        <item x="153"/>
        <item x="17"/>
        <item x="24"/>
        <item x="147"/>
        <item x="78"/>
        <item x="48"/>
        <item x="100"/>
        <item x="72"/>
        <item x="23"/>
        <item x="61"/>
        <item x="114"/>
        <item x="71"/>
        <item x="87"/>
        <item x="126"/>
        <item x="37"/>
        <item x="139"/>
        <item x="35"/>
        <item x="10"/>
        <item x="6"/>
        <item x="40"/>
        <item x="135"/>
        <item x="53"/>
        <item x="134"/>
        <item x="119"/>
        <item t="default"/>
      </items>
    </pivotField>
    <pivotField showAll="0"/>
    <pivotField axis="axisRow" showAll="0">
      <items count="13">
        <item x="2"/>
        <item x="6"/>
        <item x="3"/>
        <item x="4"/>
        <item x="11"/>
        <item x="0"/>
        <item x="1"/>
        <item x="7"/>
        <item x="9"/>
        <item x="10"/>
        <item x="8"/>
        <item x="5"/>
        <item t="default"/>
      </items>
    </pivotField>
    <pivotField showAll="0"/>
    <pivotField showAll="0">
      <items count="6">
        <item x="3"/>
        <item x="2"/>
        <item x="1"/>
        <item x="0"/>
        <item x="4"/>
        <item t="default"/>
      </items>
    </pivotField>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Sum of Profit" fld="13" baseField="0" baseItem="0"/>
  </dataFields>
  <chartFormats count="1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 chart="1" format="6">
      <pivotArea type="data" outline="0" fieldPosition="0">
        <references count="2">
          <reference field="4294967294" count="1" selected="0">
            <x v="0"/>
          </reference>
          <reference field="3" count="1" selected="0">
            <x v="4"/>
          </reference>
        </references>
      </pivotArea>
    </chartFormat>
    <chartFormat chart="1" format="7">
      <pivotArea type="data" outline="0" fieldPosition="0">
        <references count="2">
          <reference field="4294967294" count="1" selected="0">
            <x v="0"/>
          </reference>
          <reference field="3" count="1" selected="0">
            <x v="5"/>
          </reference>
        </references>
      </pivotArea>
    </chartFormat>
    <chartFormat chart="1" format="8">
      <pivotArea type="data" outline="0" fieldPosition="0">
        <references count="2">
          <reference field="4294967294" count="1" selected="0">
            <x v="0"/>
          </reference>
          <reference field="3" count="1" selected="0">
            <x v="6"/>
          </reference>
        </references>
      </pivotArea>
    </chartFormat>
    <chartFormat chart="1" format="9">
      <pivotArea type="data" outline="0" fieldPosition="0">
        <references count="2">
          <reference field="4294967294" count="1" selected="0">
            <x v="0"/>
          </reference>
          <reference field="3" count="1" selected="0">
            <x v="7"/>
          </reference>
        </references>
      </pivotArea>
    </chartFormat>
    <chartFormat chart="1" format="10">
      <pivotArea type="data" outline="0" fieldPosition="0">
        <references count="2">
          <reference field="4294967294" count="1" selected="0">
            <x v="0"/>
          </reference>
          <reference field="3" count="1" selected="0">
            <x v="8"/>
          </reference>
        </references>
      </pivotArea>
    </chartFormat>
    <chartFormat chart="1" format="11">
      <pivotArea type="data" outline="0" fieldPosition="0">
        <references count="2">
          <reference field="4294967294" count="1" selected="0">
            <x v="0"/>
          </reference>
          <reference field="3" count="1" selected="0">
            <x v="9"/>
          </reference>
        </references>
      </pivotArea>
    </chartFormat>
    <chartFormat chart="1" format="12">
      <pivotArea type="data" outline="0" fieldPosition="0">
        <references count="2">
          <reference field="4294967294" count="1" selected="0">
            <x v="0"/>
          </reference>
          <reference field="3" count="1" selected="0">
            <x v="10"/>
          </reference>
        </references>
      </pivotArea>
    </chartFormat>
    <chartFormat chart="1" format="13">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169C62-6F5E-45CB-A7D2-939C9DD3EB04}" sourceName="Region">
  <pivotTables>
    <pivotTable tabId="13" name="PivotTable4"/>
  </pivotTables>
  <data>
    <tabular pivotCacheId="1089644638">
      <items count="5">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E6A5998-6C9B-4DA5-80A8-9168F149511E}" sourceName="Country">
  <pivotTables>
    <pivotTable tabId="13" name="PivotTable4"/>
  </pivotTables>
  <data>
    <tabular pivotCacheId="1089644638">
      <items count="5">
        <i x="3" s="1"/>
        <i x="2"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ACA110BB-3064-4197-BA59-9899B33098D5}" sourceName="Sales">
  <pivotTables>
    <pivotTable tabId="13" name="PivotTable4"/>
  </pivotTables>
  <data>
    <tabular pivotCacheId="1089644638">
      <items count="200">
        <i x="108" s="1"/>
        <i x="116" s="1"/>
        <i x="120" s="1"/>
        <i x="179" s="1"/>
        <i x="145" s="1"/>
        <i x="56" s="1"/>
        <i x="97" s="1"/>
        <i x="114" s="1"/>
        <i x="22" s="1"/>
        <i x="96" s="1"/>
        <i x="178" s="1"/>
        <i x="182" s="1"/>
        <i x="121" s="1"/>
        <i x="159" s="1"/>
        <i x="85" s="1"/>
        <i x="11" s="1"/>
        <i x="105" s="1"/>
        <i x="2" s="1"/>
        <i x="139" s="1"/>
        <i x="127" s="1"/>
        <i x="135" s="1"/>
        <i x="158" s="1"/>
        <i x="155" s="1"/>
        <i x="15" s="1"/>
        <i x="77" s="1"/>
        <i x="151" s="1"/>
        <i x="138" s="1"/>
        <i x="8" s="1"/>
        <i x="170" s="1"/>
        <i x="165" s="1"/>
        <i x="191" s="1"/>
        <i x="154" s="1"/>
        <i x="49" s="1"/>
        <i x="132" s="1"/>
        <i x="156" s="1"/>
        <i x="60" s="1"/>
        <i x="29" s="1"/>
        <i x="80" s="1"/>
        <i x="169" s="1"/>
        <i x="71" s="1"/>
        <i x="55" s="1"/>
        <i x="94" s="1"/>
        <i x="189" s="1"/>
        <i x="35" s="1"/>
        <i x="90" s="1"/>
        <i x="187" s="1"/>
        <i x="95" s="1"/>
        <i x="39" s="1"/>
        <i x="13" s="1"/>
        <i x="59" s="1"/>
        <i x="53" s="1"/>
        <i x="148" s="1"/>
        <i x="140" s="1"/>
        <i x="63" s="1"/>
        <i x="7" s="1"/>
        <i x="9" s="1"/>
        <i x="65" s="1"/>
        <i x="130" s="1"/>
        <i x="45" s="1"/>
        <i x="110" s="1"/>
        <i x="101" s="1"/>
        <i x="125" s="1"/>
        <i x="30" s="1"/>
        <i x="183" s="1"/>
        <i x="86" s="1"/>
        <i x="44" s="1"/>
        <i x="172" s="1"/>
        <i x="175" s="1"/>
        <i x="42" s="1"/>
        <i x="152" s="1"/>
        <i x="18" s="1"/>
        <i x="144" s="1"/>
        <i x="5" s="1"/>
        <i x="102" s="1"/>
        <i x="111" s="1"/>
        <i x="19" s="1"/>
        <i x="176" s="1"/>
        <i x="167" s="1"/>
        <i x="181" s="1"/>
        <i x="84" s="1"/>
        <i x="68" s="1"/>
        <i x="123" s="1"/>
        <i x="36" s="1"/>
        <i x="126" s="1"/>
        <i x="51" s="1"/>
        <i x="48" s="1"/>
        <i x="78" s="1"/>
        <i x="72" s="1"/>
        <i x="88" s="1"/>
        <i x="163" s="1"/>
        <i x="195" s="1"/>
        <i x="52" s="1"/>
        <i x="26" s="1"/>
        <i x="166" s="1"/>
        <i x="41" s="1"/>
        <i x="12" s="1"/>
        <i x="38" s="1"/>
        <i x="4" s="1"/>
        <i x="67" s="1"/>
        <i x="50" s="1"/>
        <i x="0" s="1"/>
        <i x="99" s="1"/>
        <i x="173" s="1"/>
        <i x="194" s="1"/>
        <i x="128" s="1"/>
        <i x="186" s="1"/>
        <i x="43" s="1"/>
        <i x="75" s="1"/>
        <i x="134" s="1"/>
        <i x="141" s="1"/>
        <i x="122" s="1"/>
        <i x="70" s="1"/>
        <i x="64" s="1"/>
        <i x="14" s="1"/>
        <i x="168" s="1"/>
        <i x="28" s="1"/>
        <i x="32" s="1"/>
        <i x="107" s="1"/>
        <i x="198" s="1"/>
        <i x="177" s="1"/>
        <i x="196" s="1"/>
        <i x="147" s="1"/>
        <i x="61" s="1"/>
        <i x="31" s="1"/>
        <i x="146" s="1"/>
        <i x="118" s="1"/>
        <i x="20" s="1"/>
        <i x="149" s="1"/>
        <i x="109" s="1"/>
        <i x="160" s="1"/>
        <i x="119" s="1"/>
        <i x="180" s="1"/>
        <i x="69" s="1"/>
        <i x="76" s="1"/>
        <i x="197" s="1"/>
        <i x="46" s="1"/>
        <i x="10" s="1"/>
        <i x="23" s="1"/>
        <i x="115" s="1"/>
        <i x="83" s="1"/>
        <i x="184" s="1"/>
        <i x="199" s="1"/>
        <i x="57" s="1"/>
        <i x="34" s="1"/>
        <i x="93" s="1"/>
        <i x="21" s="1"/>
        <i x="98" s="1"/>
        <i x="87" s="1"/>
        <i x="66" s="1"/>
        <i x="58" s="1"/>
        <i x="113" s="1"/>
        <i x="162" s="1"/>
        <i x="190" s="1"/>
        <i x="185" s="1"/>
        <i x="100" s="1"/>
        <i x="161" s="1"/>
        <i x="54" s="1"/>
        <i x="157" s="1"/>
        <i x="193" s="1"/>
        <i x="16" s="1"/>
        <i x="37" s="1"/>
        <i x="6" s="1"/>
        <i x="106" s="1"/>
        <i x="136" s="1"/>
        <i x="131" s="1"/>
        <i x="25" s="1"/>
        <i x="47" s="1"/>
        <i x="74" s="1"/>
        <i x="33" s="1"/>
        <i x="89" s="1"/>
        <i x="1" s="1"/>
        <i x="24" s="1"/>
        <i x="124" s="1"/>
        <i x="27" s="1"/>
        <i x="91" s="1"/>
        <i x="188" s="1"/>
        <i x="153" s="1"/>
        <i x="82" s="1"/>
        <i x="92" s="1"/>
        <i x="143" s="1"/>
        <i x="133" s="1"/>
        <i x="117" s="1"/>
        <i x="137" s="1"/>
        <i x="103" s="1"/>
        <i x="79" s="1"/>
        <i x="174" s="1"/>
        <i x="164" s="1"/>
        <i x="62" s="1"/>
        <i x="17" s="1"/>
        <i x="192" s="1"/>
        <i x="40" s="1"/>
        <i x="142" s="1"/>
        <i x="3" s="1"/>
        <i x="129" s="1"/>
        <i x="73" s="1"/>
        <i x="112" s="1"/>
        <i x="150" s="1"/>
        <i x="81" s="1"/>
        <i x="171" s="1"/>
        <i x="10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44CD87-0C8D-4041-A5F1-803E0616474E}" cache="Slicer_Region" caption="Region" rowHeight="234950"/>
  <slicer name="Country" xr10:uid="{64517E06-BC1B-465F-B1F8-43E5493FE60F}" cache="Slicer_Country" caption="Country" rowHeight="234950"/>
  <slicer name="Sales" xr10:uid="{9D632CAC-218A-481A-B200-43C71609FAC9}" cache="Slicer_Sales" caption="Sal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02BF29-989A-4406-807D-680483AE6AFE}" name="Table1" displayName="Table1" ref="A1:O201" totalsRowShown="0" headerRowDxfId="60" headerRowBorderDxfId="59" tableBorderDxfId="58" totalsRowBorderDxfId="57">
  <autoFilter ref="A1:O201" xr:uid="{3B02BF29-989A-4406-807D-680483AE6AFE}"/>
  <tableColumns count="15">
    <tableColumn id="1" xr3:uid="{E9A0A5D9-74FC-48F4-9641-455B2FC81BE3}" name="Order ID" dataDxfId="56"/>
    <tableColumn id="2" xr3:uid="{5C22CD6A-1219-4A6F-9336-C3567A0CF75D}" name="Order Date" dataDxfId="55"/>
    <tableColumn id="3" xr3:uid="{6CAFA583-A108-4421-90B0-05C94BBEAF98}" name="Year" dataDxfId="54"/>
    <tableColumn id="4" xr3:uid="{EBF586F4-CEC8-469C-A39A-7F50BB2151F2}" name="Month" dataDxfId="53"/>
    <tableColumn id="5" xr3:uid="{E7662DDD-A543-4706-8383-DD402CBB6CE8}" name="Region" dataDxfId="52"/>
    <tableColumn id="6" xr3:uid="{8BC3D69A-94D5-4591-8E07-9C9302679D52}" name="Country" dataDxfId="51"/>
    <tableColumn id="7" xr3:uid="{0763153E-1CB8-4C5C-842F-E9AFF853E9AA}" name="Category" dataDxfId="50"/>
    <tableColumn id="8" xr3:uid="{B0191FB9-8122-4292-A295-B1EEF113E62E}" name="Sub-Category" dataDxfId="49"/>
    <tableColumn id="9" xr3:uid="{A176DF8D-169B-4725-9F33-F243982B0746}" name="Customer Segment" dataDxfId="48"/>
    <tableColumn id="10" xr3:uid="{BBEFD118-F0D7-4C23-9154-F80C8BC28FA4}" name="Sales" dataDxfId="47"/>
    <tableColumn id="11" xr3:uid="{415467D6-B25B-4DE3-A501-1CBFCD8F3460}" name="Quantity" dataDxfId="46"/>
    <tableColumn id="12" xr3:uid="{7FB69ECA-3454-4970-9E61-72329A51CD29}" name="Discount" dataDxfId="45"/>
    <tableColumn id="13" xr3:uid="{4D6C65D5-E049-47A8-9421-496962BF1C17}" name="Cost" dataDxfId="44"/>
    <tableColumn id="14" xr3:uid="{0FEE5AE8-B5A6-4254-BFA4-E7C787EBC741}" name="Profit" dataDxfId="43"/>
    <tableColumn id="15" xr3:uid="{C4B51677-8E52-4B8B-A11B-2D9004C20FE4}" name="Unit Price" dataDxfId="42">
      <calculatedColumnFormula>J2/K2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345E-7A25-4DC6-9425-A954AD37A021}">
  <dimension ref="A1:O201"/>
  <sheetViews>
    <sheetView workbookViewId="0">
      <selection activeCell="R10" sqref="R10"/>
    </sheetView>
  </sheetViews>
  <sheetFormatPr defaultRowHeight="14.4" x14ac:dyDescent="0.3"/>
  <cols>
    <col min="1" max="1" width="9.88671875" customWidth="1"/>
    <col min="2" max="2" width="15.44140625" bestFit="1" customWidth="1"/>
    <col min="3" max="3" width="6.5546875" customWidth="1"/>
    <col min="4" max="4" width="9.77734375" bestFit="1" customWidth="1"/>
    <col min="5" max="5" width="8.6640625" customWidth="1"/>
    <col min="6" max="6" width="9.6640625" customWidth="1"/>
    <col min="7" max="7" width="13.109375" bestFit="1" customWidth="1"/>
    <col min="8" max="8" width="14.33203125" customWidth="1"/>
    <col min="9" max="9" width="18.88671875" customWidth="1"/>
    <col min="10" max="10" width="9" bestFit="1" customWidth="1"/>
    <col min="11" max="12" width="10.21875" customWidth="1"/>
    <col min="13" max="14" width="9" bestFit="1" customWidth="1"/>
    <col min="15" max="15" width="11" customWidth="1"/>
  </cols>
  <sheetData>
    <row r="1" spans="1:15" x14ac:dyDescent="0.3">
      <c r="A1" s="6" t="s">
        <v>0</v>
      </c>
      <c r="B1" s="7" t="s">
        <v>1</v>
      </c>
      <c r="C1" s="7" t="s">
        <v>2</v>
      </c>
      <c r="D1" s="7" t="s">
        <v>3</v>
      </c>
      <c r="E1" s="7" t="s">
        <v>4</v>
      </c>
      <c r="F1" s="7" t="s">
        <v>5</v>
      </c>
      <c r="G1" s="7" t="s">
        <v>6</v>
      </c>
      <c r="H1" s="7" t="s">
        <v>7</v>
      </c>
      <c r="I1" s="7" t="s">
        <v>8</v>
      </c>
      <c r="J1" s="7" t="s">
        <v>9</v>
      </c>
      <c r="K1" s="7" t="s">
        <v>10</v>
      </c>
      <c r="L1" s="7" t="s">
        <v>11</v>
      </c>
      <c r="M1" s="7" t="s">
        <v>12</v>
      </c>
      <c r="N1" s="7" t="s">
        <v>13</v>
      </c>
      <c r="O1" s="8" t="s">
        <v>248</v>
      </c>
    </row>
    <row r="2" spans="1:15" x14ac:dyDescent="0.3">
      <c r="A2" s="4" t="s">
        <v>14</v>
      </c>
      <c r="B2" s="3">
        <v>45467</v>
      </c>
      <c r="C2" s="2">
        <v>2024</v>
      </c>
      <c r="D2" s="2" t="s">
        <v>15</v>
      </c>
      <c r="E2" s="2" t="s">
        <v>16</v>
      </c>
      <c r="F2" s="2" t="s">
        <v>17</v>
      </c>
      <c r="G2" s="2" t="s">
        <v>18</v>
      </c>
      <c r="H2" s="2" t="s">
        <v>19</v>
      </c>
      <c r="I2" s="2" t="s">
        <v>20</v>
      </c>
      <c r="J2" s="2">
        <v>20012.71</v>
      </c>
      <c r="K2" s="2">
        <v>6</v>
      </c>
      <c r="L2" s="2">
        <v>0.05</v>
      </c>
      <c r="M2" s="2">
        <v>15106.38</v>
      </c>
      <c r="N2" s="2">
        <v>4906.33</v>
      </c>
      <c r="O2" s="5">
        <f>J2/K2</f>
        <v>3335.4516666666664</v>
      </c>
    </row>
    <row r="3" spans="1:15" x14ac:dyDescent="0.3">
      <c r="A3" s="4" t="s">
        <v>21</v>
      </c>
      <c r="B3" s="3">
        <v>45488</v>
      </c>
      <c r="C3" s="2">
        <v>2024</v>
      </c>
      <c r="D3" s="2" t="s">
        <v>22</v>
      </c>
      <c r="E3" s="2" t="s">
        <v>23</v>
      </c>
      <c r="F3" s="2" t="s">
        <v>24</v>
      </c>
      <c r="G3" s="2" t="s">
        <v>18</v>
      </c>
      <c r="H3" s="2" t="s">
        <v>19</v>
      </c>
      <c r="I3" s="2" t="s">
        <v>25</v>
      </c>
      <c r="J3" s="2">
        <v>32526.73</v>
      </c>
      <c r="K3" s="2">
        <v>6</v>
      </c>
      <c r="L3" s="2">
        <v>0.17</v>
      </c>
      <c r="M3" s="2">
        <v>23572.63</v>
      </c>
      <c r="N3" s="2">
        <v>8954.1</v>
      </c>
      <c r="O3" s="5">
        <f t="shared" ref="O3:O66" si="0">J3/K3</f>
        <v>5421.1216666666669</v>
      </c>
    </row>
    <row r="4" spans="1:15" x14ac:dyDescent="0.3">
      <c r="A4" s="4" t="s">
        <v>26</v>
      </c>
      <c r="B4" s="3">
        <v>45317</v>
      </c>
      <c r="C4" s="2">
        <v>2024</v>
      </c>
      <c r="D4" s="2" t="s">
        <v>27</v>
      </c>
      <c r="E4" s="2" t="s">
        <v>28</v>
      </c>
      <c r="F4" s="2" t="s">
        <v>24</v>
      </c>
      <c r="G4" s="2" t="s">
        <v>29</v>
      </c>
      <c r="H4" s="2" t="s">
        <v>30</v>
      </c>
      <c r="I4" s="2" t="s">
        <v>25</v>
      </c>
      <c r="J4" s="2">
        <v>4927.51</v>
      </c>
      <c r="K4" s="2">
        <v>1</v>
      </c>
      <c r="L4" s="2">
        <v>0.12</v>
      </c>
      <c r="M4" s="2">
        <v>4078.38</v>
      </c>
      <c r="N4" s="2">
        <v>849.13</v>
      </c>
      <c r="O4" s="5">
        <f t="shared" si="0"/>
        <v>4927.51</v>
      </c>
    </row>
    <row r="5" spans="1:15" x14ac:dyDescent="0.3">
      <c r="A5" s="4" t="s">
        <v>31</v>
      </c>
      <c r="B5" s="3">
        <v>45359</v>
      </c>
      <c r="C5" s="2">
        <v>2024</v>
      </c>
      <c r="D5" s="2" t="s">
        <v>32</v>
      </c>
      <c r="E5" s="2" t="s">
        <v>16</v>
      </c>
      <c r="F5" s="2" t="s">
        <v>17</v>
      </c>
      <c r="G5" s="2" t="s">
        <v>18</v>
      </c>
      <c r="H5" s="2" t="s">
        <v>30</v>
      </c>
      <c r="I5" s="2" t="s">
        <v>20</v>
      </c>
      <c r="J5" s="2">
        <v>38088.83</v>
      </c>
      <c r="K5" s="2">
        <v>2</v>
      </c>
      <c r="L5" s="2">
        <v>0.23</v>
      </c>
      <c r="M5" s="2">
        <v>27212.31</v>
      </c>
      <c r="N5" s="2">
        <v>10876.52</v>
      </c>
      <c r="O5" s="5">
        <f t="shared" si="0"/>
        <v>19044.415000000001</v>
      </c>
    </row>
    <row r="6" spans="1:15" x14ac:dyDescent="0.3">
      <c r="A6" s="4" t="s">
        <v>33</v>
      </c>
      <c r="B6" s="3">
        <v>45503</v>
      </c>
      <c r="C6" s="2">
        <v>2024</v>
      </c>
      <c r="D6" s="2" t="s">
        <v>22</v>
      </c>
      <c r="E6" s="2" t="s">
        <v>16</v>
      </c>
      <c r="F6" s="2" t="s">
        <v>34</v>
      </c>
      <c r="G6" s="2" t="s">
        <v>35</v>
      </c>
      <c r="H6" s="2" t="s">
        <v>19</v>
      </c>
      <c r="I6" s="2" t="s">
        <v>25</v>
      </c>
      <c r="J6" s="2">
        <v>19018.79</v>
      </c>
      <c r="K6" s="2">
        <v>2</v>
      </c>
      <c r="L6" s="2">
        <v>0.22</v>
      </c>
      <c r="M6" s="2">
        <v>15518.61</v>
      </c>
      <c r="N6" s="2">
        <v>3500.18</v>
      </c>
      <c r="O6" s="5">
        <f t="shared" si="0"/>
        <v>9509.3950000000004</v>
      </c>
    </row>
    <row r="7" spans="1:15" x14ac:dyDescent="0.3">
      <c r="A7" s="4" t="s">
        <v>36</v>
      </c>
      <c r="B7" s="3">
        <v>45395</v>
      </c>
      <c r="C7" s="2">
        <v>2024</v>
      </c>
      <c r="D7" s="2" t="s">
        <v>37</v>
      </c>
      <c r="E7" s="2" t="s">
        <v>28</v>
      </c>
      <c r="F7" s="2" t="s">
        <v>38</v>
      </c>
      <c r="G7" s="2" t="s">
        <v>29</v>
      </c>
      <c r="H7" s="2" t="s">
        <v>39</v>
      </c>
      <c r="I7" s="2" t="s">
        <v>25</v>
      </c>
      <c r="J7" s="2">
        <v>13800.67</v>
      </c>
      <c r="K7" s="2">
        <v>6</v>
      </c>
      <c r="L7" s="2">
        <v>0.09</v>
      </c>
      <c r="M7" s="2">
        <v>9746.4599999999991</v>
      </c>
      <c r="N7" s="2">
        <v>4054.21</v>
      </c>
      <c r="O7" s="5">
        <f t="shared" si="0"/>
        <v>2300.1116666666667</v>
      </c>
    </row>
    <row r="8" spans="1:15" x14ac:dyDescent="0.3">
      <c r="A8" s="4" t="s">
        <v>40</v>
      </c>
      <c r="B8" s="3">
        <v>45640</v>
      </c>
      <c r="C8" s="2">
        <v>2024</v>
      </c>
      <c r="D8" s="2" t="s">
        <v>41</v>
      </c>
      <c r="E8" s="2" t="s">
        <v>42</v>
      </c>
      <c r="F8" s="2" t="s">
        <v>43</v>
      </c>
      <c r="G8" s="2" t="s">
        <v>18</v>
      </c>
      <c r="H8" s="2" t="s">
        <v>39</v>
      </c>
      <c r="I8" s="2" t="s">
        <v>20</v>
      </c>
      <c r="J8" s="2">
        <v>31318.959999999999</v>
      </c>
      <c r="K8" s="2">
        <v>9</v>
      </c>
      <c r="L8" s="2">
        <v>0.1</v>
      </c>
      <c r="M8" s="2">
        <v>24472.12</v>
      </c>
      <c r="N8" s="2">
        <v>6846.84</v>
      </c>
      <c r="O8" s="5">
        <f t="shared" si="0"/>
        <v>3479.8844444444444</v>
      </c>
    </row>
    <row r="9" spans="1:15" x14ac:dyDescent="0.3">
      <c r="A9" s="4" t="s">
        <v>44</v>
      </c>
      <c r="B9" s="3">
        <v>45477</v>
      </c>
      <c r="C9" s="2">
        <v>2024</v>
      </c>
      <c r="D9" s="2" t="s">
        <v>22</v>
      </c>
      <c r="E9" s="2" t="s">
        <v>16</v>
      </c>
      <c r="F9" s="2" t="s">
        <v>34</v>
      </c>
      <c r="G9" s="2" t="s">
        <v>35</v>
      </c>
      <c r="H9" s="2" t="s">
        <v>30</v>
      </c>
      <c r="I9" s="2" t="s">
        <v>20</v>
      </c>
      <c r="J9" s="2">
        <v>10853.73</v>
      </c>
      <c r="K9" s="2">
        <v>10</v>
      </c>
      <c r="L9" s="2">
        <v>0.23</v>
      </c>
      <c r="M9" s="2">
        <v>8411.58</v>
      </c>
      <c r="N9" s="2">
        <v>2442.15</v>
      </c>
      <c r="O9" s="5">
        <f t="shared" si="0"/>
        <v>1085.373</v>
      </c>
    </row>
    <row r="10" spans="1:15" x14ac:dyDescent="0.3">
      <c r="A10" s="4" t="s">
        <v>45</v>
      </c>
      <c r="B10" s="3">
        <v>45315</v>
      </c>
      <c r="C10" s="2">
        <v>2024</v>
      </c>
      <c r="D10" s="2" t="s">
        <v>27</v>
      </c>
      <c r="E10" s="2" t="s">
        <v>23</v>
      </c>
      <c r="F10" s="2" t="s">
        <v>24</v>
      </c>
      <c r="G10" s="2" t="s">
        <v>18</v>
      </c>
      <c r="H10" s="2" t="s">
        <v>30</v>
      </c>
      <c r="I10" s="2" t="s">
        <v>25</v>
      </c>
      <c r="J10" s="2">
        <v>6540.32</v>
      </c>
      <c r="K10" s="2">
        <v>3</v>
      </c>
      <c r="L10" s="2">
        <v>0.24</v>
      </c>
      <c r="M10" s="2">
        <v>5549.91</v>
      </c>
      <c r="N10" s="2">
        <v>990.41</v>
      </c>
      <c r="O10" s="5">
        <f t="shared" si="0"/>
        <v>2180.1066666666666</v>
      </c>
    </row>
    <row r="11" spans="1:15" x14ac:dyDescent="0.3">
      <c r="A11" s="4" t="s">
        <v>46</v>
      </c>
      <c r="B11" s="3">
        <v>45364</v>
      </c>
      <c r="C11" s="2">
        <v>2024</v>
      </c>
      <c r="D11" s="2" t="s">
        <v>32</v>
      </c>
      <c r="E11" s="2" t="s">
        <v>16</v>
      </c>
      <c r="F11" s="2" t="s">
        <v>38</v>
      </c>
      <c r="G11" s="2" t="s">
        <v>29</v>
      </c>
      <c r="H11" s="2" t="s">
        <v>47</v>
      </c>
      <c r="I11" s="2" t="s">
        <v>25</v>
      </c>
      <c r="J11" s="2">
        <v>10918.37</v>
      </c>
      <c r="K11" s="2">
        <v>4</v>
      </c>
      <c r="L11" s="2">
        <v>0.2</v>
      </c>
      <c r="M11" s="2">
        <v>6613.21</v>
      </c>
      <c r="N11" s="2">
        <v>4305.16</v>
      </c>
      <c r="O11" s="5">
        <f t="shared" si="0"/>
        <v>2729.5925000000002</v>
      </c>
    </row>
    <row r="12" spans="1:15" x14ac:dyDescent="0.3">
      <c r="A12" s="4" t="s">
        <v>48</v>
      </c>
      <c r="B12" s="3">
        <v>45637</v>
      </c>
      <c r="C12" s="2">
        <v>2024</v>
      </c>
      <c r="D12" s="2" t="s">
        <v>41</v>
      </c>
      <c r="E12" s="2" t="s">
        <v>49</v>
      </c>
      <c r="F12" s="2" t="s">
        <v>38</v>
      </c>
      <c r="G12" s="2" t="s">
        <v>35</v>
      </c>
      <c r="H12" s="2" t="s">
        <v>39</v>
      </c>
      <c r="I12" s="2" t="s">
        <v>25</v>
      </c>
      <c r="J12" s="2">
        <v>27163.21</v>
      </c>
      <c r="K12" s="2">
        <v>10</v>
      </c>
      <c r="L12" s="2">
        <v>0.02</v>
      </c>
      <c r="M12" s="2">
        <v>17088.96</v>
      </c>
      <c r="N12" s="2">
        <v>10074.25</v>
      </c>
      <c r="O12" s="5">
        <f t="shared" si="0"/>
        <v>2716.3209999999999</v>
      </c>
    </row>
    <row r="13" spans="1:15" x14ac:dyDescent="0.3">
      <c r="A13" s="4" t="s">
        <v>50</v>
      </c>
      <c r="B13" s="3">
        <v>45334</v>
      </c>
      <c r="C13" s="2">
        <v>2024</v>
      </c>
      <c r="D13" s="2" t="s">
        <v>51</v>
      </c>
      <c r="E13" s="2" t="s">
        <v>16</v>
      </c>
      <c r="F13" s="2" t="s">
        <v>34</v>
      </c>
      <c r="G13" s="2" t="s">
        <v>35</v>
      </c>
      <c r="H13" s="2" t="s">
        <v>52</v>
      </c>
      <c r="I13" s="2" t="s">
        <v>25</v>
      </c>
      <c r="J13" s="2">
        <v>4746.18</v>
      </c>
      <c r="K13" s="2">
        <v>11</v>
      </c>
      <c r="L13" s="2">
        <v>0.01</v>
      </c>
      <c r="M13" s="2">
        <v>3260.06</v>
      </c>
      <c r="N13" s="2">
        <v>1486.12</v>
      </c>
      <c r="O13" s="5">
        <f t="shared" si="0"/>
        <v>431.47090909090912</v>
      </c>
    </row>
    <row r="14" spans="1:15" x14ac:dyDescent="0.3">
      <c r="A14" s="4" t="s">
        <v>53</v>
      </c>
      <c r="B14" s="3">
        <v>45510</v>
      </c>
      <c r="C14" s="2">
        <v>2024</v>
      </c>
      <c r="D14" s="2" t="s">
        <v>54</v>
      </c>
      <c r="E14" s="2" t="s">
        <v>42</v>
      </c>
      <c r="F14" s="2" t="s">
        <v>34</v>
      </c>
      <c r="G14" s="2" t="s">
        <v>18</v>
      </c>
      <c r="H14" s="2" t="s">
        <v>52</v>
      </c>
      <c r="I14" s="2" t="s">
        <v>25</v>
      </c>
      <c r="J14" s="2">
        <v>18491.32</v>
      </c>
      <c r="K14" s="2">
        <v>9</v>
      </c>
      <c r="L14" s="2">
        <v>0.15</v>
      </c>
      <c r="M14" s="2">
        <v>14371.46</v>
      </c>
      <c r="N14" s="2">
        <v>4119.8599999999997</v>
      </c>
      <c r="O14" s="5">
        <f t="shared" si="0"/>
        <v>2054.5911111111109</v>
      </c>
    </row>
    <row r="15" spans="1:15" x14ac:dyDescent="0.3">
      <c r="A15" s="4" t="s">
        <v>55</v>
      </c>
      <c r="B15" s="3">
        <v>45459</v>
      </c>
      <c r="C15" s="2">
        <v>2024</v>
      </c>
      <c r="D15" s="2" t="s">
        <v>15</v>
      </c>
      <c r="E15" s="2" t="s">
        <v>49</v>
      </c>
      <c r="F15" s="2" t="s">
        <v>24</v>
      </c>
      <c r="G15" s="2" t="s">
        <v>29</v>
      </c>
      <c r="H15" s="2" t="s">
        <v>30</v>
      </c>
      <c r="I15" s="2" t="s">
        <v>56</v>
      </c>
      <c r="J15" s="2">
        <v>10033.93</v>
      </c>
      <c r="K15" s="2">
        <v>1</v>
      </c>
      <c r="L15" s="2">
        <v>0.19</v>
      </c>
      <c r="M15" s="2">
        <v>5696.45</v>
      </c>
      <c r="N15" s="2">
        <v>4337.4799999999996</v>
      </c>
      <c r="O15" s="5">
        <f t="shared" si="0"/>
        <v>10033.93</v>
      </c>
    </row>
    <row r="16" spans="1:15" x14ac:dyDescent="0.3">
      <c r="A16" s="4" t="s">
        <v>57</v>
      </c>
      <c r="B16" s="3">
        <v>45360</v>
      </c>
      <c r="C16" s="2">
        <v>2024</v>
      </c>
      <c r="D16" s="2" t="s">
        <v>32</v>
      </c>
      <c r="E16" s="2" t="s">
        <v>23</v>
      </c>
      <c r="F16" s="2" t="s">
        <v>34</v>
      </c>
      <c r="G16" s="2" t="s">
        <v>35</v>
      </c>
      <c r="H16" s="2" t="s">
        <v>58</v>
      </c>
      <c r="I16" s="2" t="s">
        <v>56</v>
      </c>
      <c r="J16" s="2">
        <v>22190.58</v>
      </c>
      <c r="K16" s="2">
        <v>6</v>
      </c>
      <c r="L16" s="2">
        <v>0.18</v>
      </c>
      <c r="M16" s="2">
        <v>14384.24</v>
      </c>
      <c r="N16" s="2">
        <v>7806.34</v>
      </c>
      <c r="O16" s="5">
        <f t="shared" si="0"/>
        <v>3698.4300000000003</v>
      </c>
    </row>
    <row r="17" spans="1:15" x14ac:dyDescent="0.3">
      <c r="A17" s="4" t="s">
        <v>59</v>
      </c>
      <c r="B17" s="3">
        <v>45292</v>
      </c>
      <c r="C17" s="2">
        <v>2024</v>
      </c>
      <c r="D17" s="2" t="s">
        <v>27</v>
      </c>
      <c r="E17" s="2" t="s">
        <v>16</v>
      </c>
      <c r="F17" s="2" t="s">
        <v>38</v>
      </c>
      <c r="G17" s="2" t="s">
        <v>29</v>
      </c>
      <c r="H17" s="2" t="s">
        <v>52</v>
      </c>
      <c r="I17" s="2" t="s">
        <v>56</v>
      </c>
      <c r="J17" s="2">
        <v>6220.59</v>
      </c>
      <c r="K17" s="2">
        <v>11</v>
      </c>
      <c r="L17" s="2">
        <v>0.2</v>
      </c>
      <c r="M17" s="2">
        <v>5015.54</v>
      </c>
      <c r="N17" s="2">
        <v>1205.05</v>
      </c>
      <c r="O17" s="5">
        <f t="shared" si="0"/>
        <v>565.50818181818181</v>
      </c>
    </row>
    <row r="18" spans="1:15" x14ac:dyDescent="0.3">
      <c r="A18" s="4" t="s">
        <v>60</v>
      </c>
      <c r="B18" s="3">
        <v>45367</v>
      </c>
      <c r="C18" s="2">
        <v>2024</v>
      </c>
      <c r="D18" s="2" t="s">
        <v>32</v>
      </c>
      <c r="E18" s="2" t="s">
        <v>16</v>
      </c>
      <c r="F18" s="2" t="s">
        <v>38</v>
      </c>
      <c r="G18" s="2" t="s">
        <v>18</v>
      </c>
      <c r="H18" s="2" t="s">
        <v>58</v>
      </c>
      <c r="I18" s="2" t="s">
        <v>25</v>
      </c>
      <c r="J18" s="2">
        <v>31139.48</v>
      </c>
      <c r="K18" s="2">
        <v>5</v>
      </c>
      <c r="L18" s="2">
        <v>0.04</v>
      </c>
      <c r="M18" s="2">
        <v>21774.79</v>
      </c>
      <c r="N18" s="2">
        <v>9364.69</v>
      </c>
      <c r="O18" s="5">
        <f t="shared" si="0"/>
        <v>6227.8959999999997</v>
      </c>
    </row>
    <row r="19" spans="1:15" x14ac:dyDescent="0.3">
      <c r="A19" s="4" t="s">
        <v>61</v>
      </c>
      <c r="B19" s="3">
        <v>45603</v>
      </c>
      <c r="C19" s="2">
        <v>2024</v>
      </c>
      <c r="D19" s="2" t="s">
        <v>62</v>
      </c>
      <c r="E19" s="2" t="s">
        <v>28</v>
      </c>
      <c r="F19" s="2" t="s">
        <v>17</v>
      </c>
      <c r="G19" s="2" t="s">
        <v>18</v>
      </c>
      <c r="H19" s="2" t="s">
        <v>19</v>
      </c>
      <c r="I19" s="2" t="s">
        <v>56</v>
      </c>
      <c r="J19" s="2">
        <v>37017.370000000003</v>
      </c>
      <c r="K19" s="2">
        <v>1</v>
      </c>
      <c r="L19" s="2">
        <v>0</v>
      </c>
      <c r="M19" s="2">
        <v>24882.43</v>
      </c>
      <c r="N19" s="2">
        <v>12134.94</v>
      </c>
      <c r="O19" s="5">
        <f t="shared" si="0"/>
        <v>37017.370000000003</v>
      </c>
    </row>
    <row r="20" spans="1:15" x14ac:dyDescent="0.3">
      <c r="A20" s="4" t="s">
        <v>63</v>
      </c>
      <c r="B20" s="3">
        <v>45542</v>
      </c>
      <c r="C20" s="2">
        <v>2024</v>
      </c>
      <c r="D20" s="2" t="s">
        <v>64</v>
      </c>
      <c r="E20" s="2" t="s">
        <v>28</v>
      </c>
      <c r="F20" s="2" t="s">
        <v>43</v>
      </c>
      <c r="G20" s="2" t="s">
        <v>18</v>
      </c>
      <c r="H20" s="2" t="s">
        <v>19</v>
      </c>
      <c r="I20" s="2" t="s">
        <v>25</v>
      </c>
      <c r="J20" s="2">
        <v>13318.88</v>
      </c>
      <c r="K20" s="2">
        <v>3</v>
      </c>
      <c r="L20" s="2">
        <v>0.14000000000000001</v>
      </c>
      <c r="M20" s="2">
        <v>11298.67</v>
      </c>
      <c r="N20" s="2">
        <v>2020.21</v>
      </c>
      <c r="O20" s="5">
        <f t="shared" si="0"/>
        <v>4439.6266666666661</v>
      </c>
    </row>
    <row r="21" spans="1:15" x14ac:dyDescent="0.3">
      <c r="A21" s="4" t="s">
        <v>65</v>
      </c>
      <c r="B21" s="3">
        <v>45298</v>
      </c>
      <c r="C21" s="2">
        <v>2024</v>
      </c>
      <c r="D21" s="2" t="s">
        <v>27</v>
      </c>
      <c r="E21" s="2" t="s">
        <v>49</v>
      </c>
      <c r="F21" s="2" t="s">
        <v>17</v>
      </c>
      <c r="G21" s="2" t="s">
        <v>18</v>
      </c>
      <c r="H21" s="2" t="s">
        <v>52</v>
      </c>
      <c r="I21" s="2" t="s">
        <v>20</v>
      </c>
      <c r="J21" s="2">
        <v>14695.56</v>
      </c>
      <c r="K21" s="2">
        <v>3</v>
      </c>
      <c r="L21" s="2">
        <v>0.22</v>
      </c>
      <c r="M21" s="2">
        <v>12235.62</v>
      </c>
      <c r="N21" s="2">
        <v>2459.94</v>
      </c>
      <c r="O21" s="5">
        <f t="shared" si="0"/>
        <v>4898.5199999999995</v>
      </c>
    </row>
    <row r="22" spans="1:15" x14ac:dyDescent="0.3">
      <c r="A22" s="4" t="s">
        <v>66</v>
      </c>
      <c r="B22" s="3">
        <v>45567</v>
      </c>
      <c r="C22" s="2">
        <v>2024</v>
      </c>
      <c r="D22" s="2" t="s">
        <v>67</v>
      </c>
      <c r="E22" s="2" t="s">
        <v>42</v>
      </c>
      <c r="F22" s="2" t="s">
        <v>17</v>
      </c>
      <c r="G22" s="2" t="s">
        <v>35</v>
      </c>
      <c r="H22" s="2" t="s">
        <v>39</v>
      </c>
      <c r="I22" s="2" t="s">
        <v>56</v>
      </c>
      <c r="J22" s="2">
        <v>24244.94</v>
      </c>
      <c r="K22" s="2">
        <v>9</v>
      </c>
      <c r="L22" s="2">
        <v>0.06</v>
      </c>
      <c r="M22" s="2">
        <v>17024.38</v>
      </c>
      <c r="N22" s="2">
        <v>7220.56</v>
      </c>
      <c r="O22" s="5">
        <f t="shared" si="0"/>
        <v>2693.882222222222</v>
      </c>
    </row>
    <row r="23" spans="1:15" x14ac:dyDescent="0.3">
      <c r="A23" s="4" t="s">
        <v>68</v>
      </c>
      <c r="B23" s="3">
        <v>45336</v>
      </c>
      <c r="C23" s="2">
        <v>2024</v>
      </c>
      <c r="D23" s="2" t="s">
        <v>51</v>
      </c>
      <c r="E23" s="2" t="s">
        <v>23</v>
      </c>
      <c r="F23" s="2" t="s">
        <v>24</v>
      </c>
      <c r="G23" s="2" t="s">
        <v>18</v>
      </c>
      <c r="H23" s="2" t="s">
        <v>39</v>
      </c>
      <c r="I23" s="2" t="s">
        <v>20</v>
      </c>
      <c r="J23" s="2">
        <v>29761.68</v>
      </c>
      <c r="K23" s="2">
        <v>10</v>
      </c>
      <c r="L23" s="2">
        <v>0.05</v>
      </c>
      <c r="M23" s="2">
        <v>16801.98</v>
      </c>
      <c r="N23" s="2">
        <v>12959.7</v>
      </c>
      <c r="O23" s="5">
        <f t="shared" si="0"/>
        <v>2976.1680000000001</v>
      </c>
    </row>
    <row r="24" spans="1:15" x14ac:dyDescent="0.3">
      <c r="A24" s="4" t="s">
        <v>69</v>
      </c>
      <c r="B24" s="3">
        <v>45483</v>
      </c>
      <c r="C24" s="2">
        <v>2024</v>
      </c>
      <c r="D24" s="2" t="s">
        <v>22</v>
      </c>
      <c r="E24" s="2" t="s">
        <v>28</v>
      </c>
      <c r="F24" s="2" t="s">
        <v>17</v>
      </c>
      <c r="G24" s="2" t="s">
        <v>29</v>
      </c>
      <c r="H24" s="2" t="s">
        <v>58</v>
      </c>
      <c r="I24" s="2" t="s">
        <v>56</v>
      </c>
      <c r="J24" s="2">
        <v>3084.33</v>
      </c>
      <c r="K24" s="2">
        <v>4</v>
      </c>
      <c r="L24" s="2">
        <v>0.22</v>
      </c>
      <c r="M24" s="2">
        <v>2000.65</v>
      </c>
      <c r="N24" s="2">
        <v>1083.68</v>
      </c>
      <c r="O24" s="5">
        <f t="shared" si="0"/>
        <v>771.08249999999998</v>
      </c>
    </row>
    <row r="25" spans="1:15" x14ac:dyDescent="0.3">
      <c r="A25" s="4" t="s">
        <v>70</v>
      </c>
      <c r="B25" s="3">
        <v>45617</v>
      </c>
      <c r="C25" s="2">
        <v>2024</v>
      </c>
      <c r="D25" s="2" t="s">
        <v>62</v>
      </c>
      <c r="E25" s="2" t="s">
        <v>16</v>
      </c>
      <c r="F25" s="2" t="s">
        <v>43</v>
      </c>
      <c r="G25" s="2" t="s">
        <v>29</v>
      </c>
      <c r="H25" s="2" t="s">
        <v>39</v>
      </c>
      <c r="I25" s="2" t="s">
        <v>56</v>
      </c>
      <c r="J25" s="2">
        <v>27251.31</v>
      </c>
      <c r="K25" s="2">
        <v>10</v>
      </c>
      <c r="L25" s="2">
        <v>0.09</v>
      </c>
      <c r="M25" s="2">
        <v>22616.54</v>
      </c>
      <c r="N25" s="2">
        <v>4634.7700000000004</v>
      </c>
      <c r="O25" s="5">
        <f t="shared" si="0"/>
        <v>2725.1310000000003</v>
      </c>
    </row>
    <row r="26" spans="1:15" x14ac:dyDescent="0.3">
      <c r="A26" s="4" t="s">
        <v>71</v>
      </c>
      <c r="B26" s="3">
        <v>45604</v>
      </c>
      <c r="C26" s="2">
        <v>2024</v>
      </c>
      <c r="D26" s="2" t="s">
        <v>62</v>
      </c>
      <c r="E26" s="2" t="s">
        <v>28</v>
      </c>
      <c r="F26" s="2" t="s">
        <v>24</v>
      </c>
      <c r="G26" s="2" t="s">
        <v>35</v>
      </c>
      <c r="H26" s="2" t="s">
        <v>19</v>
      </c>
      <c r="I26" s="2" t="s">
        <v>25</v>
      </c>
      <c r="J26" s="2">
        <v>32718.53</v>
      </c>
      <c r="K26" s="2">
        <v>7</v>
      </c>
      <c r="L26" s="2">
        <v>0.09</v>
      </c>
      <c r="M26" s="2">
        <v>20796.439999999999</v>
      </c>
      <c r="N26" s="2">
        <v>11922.09</v>
      </c>
      <c r="O26" s="5">
        <f t="shared" si="0"/>
        <v>4674.0757142857137</v>
      </c>
    </row>
    <row r="27" spans="1:15" x14ac:dyDescent="0.3">
      <c r="A27" s="4" t="s">
        <v>72</v>
      </c>
      <c r="B27" s="3">
        <v>45444</v>
      </c>
      <c r="C27" s="2">
        <v>2024</v>
      </c>
      <c r="D27" s="2" t="s">
        <v>15</v>
      </c>
      <c r="E27" s="2" t="s">
        <v>23</v>
      </c>
      <c r="F27" s="2" t="s">
        <v>24</v>
      </c>
      <c r="G27" s="2" t="s">
        <v>18</v>
      </c>
      <c r="H27" s="2" t="s">
        <v>58</v>
      </c>
      <c r="I27" s="2" t="s">
        <v>20</v>
      </c>
      <c r="J27" s="2">
        <v>31866.83</v>
      </c>
      <c r="K27" s="2">
        <v>1</v>
      </c>
      <c r="L27" s="2">
        <v>0.15</v>
      </c>
      <c r="M27" s="2">
        <v>25409.8</v>
      </c>
      <c r="N27" s="2">
        <v>6457.03</v>
      </c>
      <c r="O27" s="5">
        <f t="shared" si="0"/>
        <v>31866.83</v>
      </c>
    </row>
    <row r="28" spans="1:15" x14ac:dyDescent="0.3">
      <c r="A28" s="4" t="s">
        <v>73</v>
      </c>
      <c r="B28" s="3">
        <v>45475</v>
      </c>
      <c r="C28" s="2">
        <v>2024</v>
      </c>
      <c r="D28" s="2" t="s">
        <v>22</v>
      </c>
      <c r="E28" s="2" t="s">
        <v>23</v>
      </c>
      <c r="F28" s="2" t="s">
        <v>38</v>
      </c>
      <c r="G28" s="2" t="s">
        <v>35</v>
      </c>
      <c r="H28" s="2" t="s">
        <v>30</v>
      </c>
      <c r="I28" s="2" t="s">
        <v>25</v>
      </c>
      <c r="J28" s="2">
        <v>17993.169999999998</v>
      </c>
      <c r="K28" s="2">
        <v>1</v>
      </c>
      <c r="L28" s="2">
        <v>7.0000000000000007E-2</v>
      </c>
      <c r="M28" s="2">
        <v>11948.81</v>
      </c>
      <c r="N28" s="2">
        <v>6044.36</v>
      </c>
      <c r="O28" s="5">
        <f t="shared" si="0"/>
        <v>17993.169999999998</v>
      </c>
    </row>
    <row r="29" spans="1:15" x14ac:dyDescent="0.3">
      <c r="A29" s="4" t="s">
        <v>74</v>
      </c>
      <c r="B29" s="3">
        <v>45404</v>
      </c>
      <c r="C29" s="2">
        <v>2024</v>
      </c>
      <c r="D29" s="2" t="s">
        <v>37</v>
      </c>
      <c r="E29" s="2" t="s">
        <v>16</v>
      </c>
      <c r="F29" s="2" t="s">
        <v>34</v>
      </c>
      <c r="G29" s="2" t="s">
        <v>18</v>
      </c>
      <c r="H29" s="2" t="s">
        <v>52</v>
      </c>
      <c r="I29" s="2" t="s">
        <v>56</v>
      </c>
      <c r="J29" s="2">
        <v>33052.6</v>
      </c>
      <c r="K29" s="2">
        <v>10</v>
      </c>
      <c r="L29" s="2">
        <v>0.23</v>
      </c>
      <c r="M29" s="2">
        <v>24651.86</v>
      </c>
      <c r="N29" s="2">
        <v>8400.74</v>
      </c>
      <c r="O29" s="5">
        <f t="shared" si="0"/>
        <v>3305.2599999999998</v>
      </c>
    </row>
    <row r="30" spans="1:15" x14ac:dyDescent="0.3">
      <c r="A30" s="4" t="s">
        <v>75</v>
      </c>
      <c r="B30" s="3">
        <v>45543</v>
      </c>
      <c r="C30" s="2">
        <v>2024</v>
      </c>
      <c r="D30" s="2" t="s">
        <v>64</v>
      </c>
      <c r="E30" s="2" t="s">
        <v>49</v>
      </c>
      <c r="F30" s="2" t="s">
        <v>24</v>
      </c>
      <c r="G30" s="2" t="s">
        <v>29</v>
      </c>
      <c r="H30" s="2" t="s">
        <v>58</v>
      </c>
      <c r="I30" s="2" t="s">
        <v>20</v>
      </c>
      <c r="J30" s="2">
        <v>22245.41</v>
      </c>
      <c r="K30" s="2">
        <v>10</v>
      </c>
      <c r="L30" s="2">
        <v>0.05</v>
      </c>
      <c r="M30" s="2">
        <v>14506.28</v>
      </c>
      <c r="N30" s="2">
        <v>7739.13</v>
      </c>
      <c r="O30" s="5">
        <f t="shared" si="0"/>
        <v>2224.5410000000002</v>
      </c>
    </row>
    <row r="31" spans="1:15" x14ac:dyDescent="0.3">
      <c r="A31" s="4" t="s">
        <v>76</v>
      </c>
      <c r="B31" s="3">
        <v>45481</v>
      </c>
      <c r="C31" s="2">
        <v>2024</v>
      </c>
      <c r="D31" s="2" t="s">
        <v>22</v>
      </c>
      <c r="E31" s="2" t="s">
        <v>42</v>
      </c>
      <c r="F31" s="2" t="s">
        <v>38</v>
      </c>
      <c r="G31" s="2" t="s">
        <v>35</v>
      </c>
      <c r="H31" s="2" t="s">
        <v>52</v>
      </c>
      <c r="I31" s="2" t="s">
        <v>20</v>
      </c>
      <c r="J31" s="2">
        <v>8119.62</v>
      </c>
      <c r="K31" s="2">
        <v>1</v>
      </c>
      <c r="L31" s="2">
        <v>0.01</v>
      </c>
      <c r="M31" s="2">
        <v>4688.53</v>
      </c>
      <c r="N31" s="2">
        <v>3431.09</v>
      </c>
      <c r="O31" s="5">
        <f t="shared" si="0"/>
        <v>8119.62</v>
      </c>
    </row>
    <row r="32" spans="1:15" x14ac:dyDescent="0.3">
      <c r="A32" s="4" t="s">
        <v>77</v>
      </c>
      <c r="B32" s="3">
        <v>45582</v>
      </c>
      <c r="C32" s="2">
        <v>2024</v>
      </c>
      <c r="D32" s="2" t="s">
        <v>67</v>
      </c>
      <c r="E32" s="2" t="s">
        <v>16</v>
      </c>
      <c r="F32" s="2" t="s">
        <v>38</v>
      </c>
      <c r="G32" s="2" t="s">
        <v>18</v>
      </c>
      <c r="H32" s="2" t="s">
        <v>52</v>
      </c>
      <c r="I32" s="2" t="s">
        <v>56</v>
      </c>
      <c r="J32" s="2">
        <v>12000.88</v>
      </c>
      <c r="K32" s="2">
        <v>6</v>
      </c>
      <c r="L32" s="2">
        <v>0.11</v>
      </c>
      <c r="M32" s="2">
        <v>7087.45</v>
      </c>
      <c r="N32" s="2">
        <v>4913.43</v>
      </c>
      <c r="O32" s="5">
        <f t="shared" si="0"/>
        <v>2000.1466666666665</v>
      </c>
    </row>
    <row r="33" spans="1:15" x14ac:dyDescent="0.3">
      <c r="A33" s="4" t="s">
        <v>78</v>
      </c>
      <c r="B33" s="3">
        <v>45604</v>
      </c>
      <c r="C33" s="2">
        <v>2024</v>
      </c>
      <c r="D33" s="2" t="s">
        <v>62</v>
      </c>
      <c r="E33" s="2" t="s">
        <v>49</v>
      </c>
      <c r="F33" s="2" t="s">
        <v>38</v>
      </c>
      <c r="G33" s="2" t="s">
        <v>35</v>
      </c>
      <c r="H33" s="2" t="s">
        <v>52</v>
      </c>
      <c r="I33" s="2" t="s">
        <v>20</v>
      </c>
      <c r="J33" s="2">
        <v>24035.25</v>
      </c>
      <c r="K33" s="2">
        <v>11</v>
      </c>
      <c r="L33" s="2">
        <v>0.15</v>
      </c>
      <c r="M33" s="2">
        <v>18116.22</v>
      </c>
      <c r="N33" s="2">
        <v>5919.03</v>
      </c>
      <c r="O33" s="5">
        <f t="shared" si="0"/>
        <v>2185.0227272727275</v>
      </c>
    </row>
    <row r="34" spans="1:15" x14ac:dyDescent="0.3">
      <c r="A34" s="4" t="s">
        <v>79</v>
      </c>
      <c r="B34" s="3">
        <v>45493</v>
      </c>
      <c r="C34" s="2">
        <v>2024</v>
      </c>
      <c r="D34" s="2" t="s">
        <v>22</v>
      </c>
      <c r="E34" s="2" t="s">
        <v>42</v>
      </c>
      <c r="F34" s="2" t="s">
        <v>24</v>
      </c>
      <c r="G34" s="2" t="s">
        <v>35</v>
      </c>
      <c r="H34" s="2" t="s">
        <v>30</v>
      </c>
      <c r="I34" s="2" t="s">
        <v>25</v>
      </c>
      <c r="J34" s="2">
        <v>22457.01</v>
      </c>
      <c r="K34" s="2">
        <v>7</v>
      </c>
      <c r="L34" s="2">
        <v>7.0000000000000007E-2</v>
      </c>
      <c r="M34" s="2">
        <v>15249.75</v>
      </c>
      <c r="N34" s="2">
        <v>7207.26</v>
      </c>
      <c r="O34" s="5">
        <f t="shared" si="0"/>
        <v>3208.1442857142856</v>
      </c>
    </row>
    <row r="35" spans="1:15" x14ac:dyDescent="0.3">
      <c r="A35" s="4" t="s">
        <v>80</v>
      </c>
      <c r="B35" s="3">
        <v>45330</v>
      </c>
      <c r="C35" s="2">
        <v>2024</v>
      </c>
      <c r="D35" s="2" t="s">
        <v>51</v>
      </c>
      <c r="E35" s="2" t="s">
        <v>23</v>
      </c>
      <c r="F35" s="2" t="s">
        <v>24</v>
      </c>
      <c r="G35" s="2" t="s">
        <v>18</v>
      </c>
      <c r="H35" s="2" t="s">
        <v>52</v>
      </c>
      <c r="I35" s="2" t="s">
        <v>56</v>
      </c>
      <c r="J35" s="2">
        <v>32245</v>
      </c>
      <c r="K35" s="2">
        <v>4</v>
      </c>
      <c r="L35" s="2">
        <v>0.19</v>
      </c>
      <c r="M35" s="2">
        <v>21216.16</v>
      </c>
      <c r="N35" s="2">
        <v>11028.84</v>
      </c>
      <c r="O35" s="5">
        <f t="shared" si="0"/>
        <v>8061.25</v>
      </c>
    </row>
    <row r="36" spans="1:15" x14ac:dyDescent="0.3">
      <c r="A36" s="4" t="s">
        <v>81</v>
      </c>
      <c r="B36" s="3">
        <v>45552</v>
      </c>
      <c r="C36" s="2">
        <v>2024</v>
      </c>
      <c r="D36" s="2" t="s">
        <v>64</v>
      </c>
      <c r="E36" s="2" t="s">
        <v>16</v>
      </c>
      <c r="F36" s="2" t="s">
        <v>17</v>
      </c>
      <c r="G36" s="2" t="s">
        <v>35</v>
      </c>
      <c r="H36" s="2" t="s">
        <v>30</v>
      </c>
      <c r="I36" s="2" t="s">
        <v>25</v>
      </c>
      <c r="J36" s="2">
        <v>28823.82</v>
      </c>
      <c r="K36" s="2">
        <v>6</v>
      </c>
      <c r="L36" s="2">
        <v>0.02</v>
      </c>
      <c r="M36" s="2">
        <v>22649.79</v>
      </c>
      <c r="N36" s="2">
        <v>6174.03</v>
      </c>
      <c r="O36" s="5">
        <f t="shared" si="0"/>
        <v>4803.97</v>
      </c>
    </row>
    <row r="37" spans="1:15" x14ac:dyDescent="0.3">
      <c r="A37" s="4" t="s">
        <v>82</v>
      </c>
      <c r="B37" s="3">
        <v>45429</v>
      </c>
      <c r="C37" s="2">
        <v>2024</v>
      </c>
      <c r="D37" s="2" t="s">
        <v>83</v>
      </c>
      <c r="E37" s="2" t="s">
        <v>42</v>
      </c>
      <c r="F37" s="2" t="s">
        <v>34</v>
      </c>
      <c r="G37" s="2" t="s">
        <v>35</v>
      </c>
      <c r="H37" s="2" t="s">
        <v>52</v>
      </c>
      <c r="I37" s="2" t="s">
        <v>20</v>
      </c>
      <c r="J37" s="2">
        <v>9151.9599999999991</v>
      </c>
      <c r="K37" s="2">
        <v>3</v>
      </c>
      <c r="L37" s="2">
        <v>0.08</v>
      </c>
      <c r="M37" s="2">
        <v>6459.57</v>
      </c>
      <c r="N37" s="2">
        <v>2692.39</v>
      </c>
      <c r="O37" s="5">
        <f t="shared" si="0"/>
        <v>3050.6533333333332</v>
      </c>
    </row>
    <row r="38" spans="1:15" x14ac:dyDescent="0.3">
      <c r="A38" s="4" t="s">
        <v>84</v>
      </c>
      <c r="B38" s="3">
        <v>45635</v>
      </c>
      <c r="C38" s="2">
        <v>2024</v>
      </c>
      <c r="D38" s="2" t="s">
        <v>41</v>
      </c>
      <c r="E38" s="2" t="s">
        <v>49</v>
      </c>
      <c r="F38" s="2" t="s">
        <v>24</v>
      </c>
      <c r="G38" s="2" t="s">
        <v>35</v>
      </c>
      <c r="H38" s="2" t="s">
        <v>19</v>
      </c>
      <c r="I38" s="2" t="s">
        <v>20</v>
      </c>
      <c r="J38" s="2">
        <v>16377.54</v>
      </c>
      <c r="K38" s="2">
        <v>10</v>
      </c>
      <c r="L38" s="2">
        <v>0.11</v>
      </c>
      <c r="M38" s="2">
        <v>11306.24</v>
      </c>
      <c r="N38" s="2">
        <v>5071.3</v>
      </c>
      <c r="O38" s="5">
        <f t="shared" si="0"/>
        <v>1637.7540000000001</v>
      </c>
    </row>
    <row r="39" spans="1:15" x14ac:dyDescent="0.3">
      <c r="A39" s="4" t="s">
        <v>85</v>
      </c>
      <c r="B39" s="3">
        <v>45487</v>
      </c>
      <c r="C39" s="2">
        <v>2024</v>
      </c>
      <c r="D39" s="2" t="s">
        <v>22</v>
      </c>
      <c r="E39" s="2" t="s">
        <v>49</v>
      </c>
      <c r="F39" s="2" t="s">
        <v>38</v>
      </c>
      <c r="G39" s="2" t="s">
        <v>29</v>
      </c>
      <c r="H39" s="2" t="s">
        <v>19</v>
      </c>
      <c r="I39" s="2" t="s">
        <v>20</v>
      </c>
      <c r="J39" s="2">
        <v>31300.51</v>
      </c>
      <c r="K39" s="2">
        <v>4</v>
      </c>
      <c r="L39" s="2">
        <v>0.24</v>
      </c>
      <c r="M39" s="2">
        <v>25571.35</v>
      </c>
      <c r="N39" s="2">
        <v>5729.16</v>
      </c>
      <c r="O39" s="5">
        <f t="shared" si="0"/>
        <v>7825.1274999999996</v>
      </c>
    </row>
    <row r="40" spans="1:15" x14ac:dyDescent="0.3">
      <c r="A40" s="4" t="s">
        <v>86</v>
      </c>
      <c r="B40" s="3">
        <v>45364</v>
      </c>
      <c r="C40" s="2">
        <v>2024</v>
      </c>
      <c r="D40" s="2" t="s">
        <v>32</v>
      </c>
      <c r="E40" s="2" t="s">
        <v>28</v>
      </c>
      <c r="F40" s="2" t="s">
        <v>34</v>
      </c>
      <c r="G40" s="2" t="s">
        <v>29</v>
      </c>
      <c r="H40" s="2" t="s">
        <v>52</v>
      </c>
      <c r="I40" s="2" t="s">
        <v>25</v>
      </c>
      <c r="J40" s="2">
        <v>18758.23</v>
      </c>
      <c r="K40" s="2">
        <v>5</v>
      </c>
      <c r="L40" s="2">
        <v>0.03</v>
      </c>
      <c r="M40" s="2">
        <v>12412.27</v>
      </c>
      <c r="N40" s="2">
        <v>6345.96</v>
      </c>
      <c r="O40" s="5">
        <f t="shared" si="0"/>
        <v>3751.6459999999997</v>
      </c>
    </row>
    <row r="41" spans="1:15" x14ac:dyDescent="0.3">
      <c r="A41" s="4" t="s">
        <v>87</v>
      </c>
      <c r="B41" s="3">
        <v>45631</v>
      </c>
      <c r="C41" s="2">
        <v>2024</v>
      </c>
      <c r="D41" s="2" t="s">
        <v>41</v>
      </c>
      <c r="E41" s="2" t="s">
        <v>49</v>
      </c>
      <c r="F41" s="2" t="s">
        <v>17</v>
      </c>
      <c r="G41" s="2" t="s">
        <v>35</v>
      </c>
      <c r="H41" s="2" t="s">
        <v>19</v>
      </c>
      <c r="I41" s="2" t="s">
        <v>25</v>
      </c>
      <c r="J41" s="2">
        <v>9621.19</v>
      </c>
      <c r="K41" s="2">
        <v>6</v>
      </c>
      <c r="L41" s="2">
        <v>0.04</v>
      </c>
      <c r="M41" s="2">
        <v>7224.21</v>
      </c>
      <c r="N41" s="2">
        <v>2396.98</v>
      </c>
      <c r="O41" s="5">
        <f t="shared" si="0"/>
        <v>1603.5316666666668</v>
      </c>
    </row>
    <row r="42" spans="1:15" x14ac:dyDescent="0.3">
      <c r="A42" s="4" t="s">
        <v>88</v>
      </c>
      <c r="B42" s="3">
        <v>45549</v>
      </c>
      <c r="C42" s="2">
        <v>2024</v>
      </c>
      <c r="D42" s="2" t="s">
        <v>64</v>
      </c>
      <c r="E42" s="2" t="s">
        <v>42</v>
      </c>
      <c r="F42" s="2" t="s">
        <v>38</v>
      </c>
      <c r="G42" s="2" t="s">
        <v>29</v>
      </c>
      <c r="H42" s="2" t="s">
        <v>39</v>
      </c>
      <c r="I42" s="2" t="s">
        <v>56</v>
      </c>
      <c r="J42" s="2">
        <v>37534.11</v>
      </c>
      <c r="K42" s="2">
        <v>1</v>
      </c>
      <c r="L42" s="2">
        <v>0.05</v>
      </c>
      <c r="M42" s="2">
        <v>21732.18</v>
      </c>
      <c r="N42" s="2">
        <v>15801.93</v>
      </c>
      <c r="O42" s="5">
        <f t="shared" si="0"/>
        <v>37534.11</v>
      </c>
    </row>
    <row r="43" spans="1:15" x14ac:dyDescent="0.3">
      <c r="A43" s="4" t="s">
        <v>89</v>
      </c>
      <c r="B43" s="3">
        <v>45484</v>
      </c>
      <c r="C43" s="2">
        <v>2024</v>
      </c>
      <c r="D43" s="2" t="s">
        <v>22</v>
      </c>
      <c r="E43" s="2" t="s">
        <v>28</v>
      </c>
      <c r="F43" s="2" t="s">
        <v>43</v>
      </c>
      <c r="G43" s="2" t="s">
        <v>35</v>
      </c>
      <c r="H43" s="2" t="s">
        <v>47</v>
      </c>
      <c r="I43" s="2" t="s">
        <v>20</v>
      </c>
      <c r="J43" s="2">
        <v>18403.759999999998</v>
      </c>
      <c r="K43" s="2">
        <v>6</v>
      </c>
      <c r="L43" s="2">
        <v>0.19</v>
      </c>
      <c r="M43" s="2">
        <v>12801.22</v>
      </c>
      <c r="N43" s="2">
        <v>5602.54</v>
      </c>
      <c r="O43" s="5">
        <f t="shared" si="0"/>
        <v>3067.2933333333331</v>
      </c>
    </row>
    <row r="44" spans="1:15" x14ac:dyDescent="0.3">
      <c r="A44" s="4" t="s">
        <v>90</v>
      </c>
      <c r="B44" s="3">
        <v>45641</v>
      </c>
      <c r="C44" s="2">
        <v>2024</v>
      </c>
      <c r="D44" s="2" t="s">
        <v>41</v>
      </c>
      <c r="E44" s="2" t="s">
        <v>49</v>
      </c>
      <c r="F44" s="2" t="s">
        <v>43</v>
      </c>
      <c r="G44" s="2" t="s">
        <v>35</v>
      </c>
      <c r="H44" s="2" t="s">
        <v>39</v>
      </c>
      <c r="I44" s="2" t="s">
        <v>20</v>
      </c>
      <c r="J44" s="2">
        <v>12902.1</v>
      </c>
      <c r="K44" s="2">
        <v>8</v>
      </c>
      <c r="L44" s="2">
        <v>7.0000000000000007E-2</v>
      </c>
      <c r="M44" s="2">
        <v>8553.74</v>
      </c>
      <c r="N44" s="2">
        <v>4348.3599999999997</v>
      </c>
      <c r="O44" s="5">
        <f t="shared" si="0"/>
        <v>1612.7625</v>
      </c>
    </row>
    <row r="45" spans="1:15" x14ac:dyDescent="0.3">
      <c r="A45" s="4" t="s">
        <v>91</v>
      </c>
      <c r="B45" s="3">
        <v>45384</v>
      </c>
      <c r="C45" s="2">
        <v>2024</v>
      </c>
      <c r="D45" s="2" t="s">
        <v>37</v>
      </c>
      <c r="E45" s="2" t="s">
        <v>28</v>
      </c>
      <c r="F45" s="2" t="s">
        <v>38</v>
      </c>
      <c r="G45" s="2" t="s">
        <v>35</v>
      </c>
      <c r="H45" s="2" t="s">
        <v>39</v>
      </c>
      <c r="I45" s="2" t="s">
        <v>20</v>
      </c>
      <c r="J45" s="2">
        <v>20841.32</v>
      </c>
      <c r="K45" s="2">
        <v>6</v>
      </c>
      <c r="L45" s="2">
        <v>0.08</v>
      </c>
      <c r="M45" s="2">
        <v>13777.95</v>
      </c>
      <c r="N45" s="2">
        <v>7063.37</v>
      </c>
      <c r="O45" s="5">
        <f t="shared" si="0"/>
        <v>3473.5533333333333</v>
      </c>
    </row>
    <row r="46" spans="1:15" x14ac:dyDescent="0.3">
      <c r="A46" s="4" t="s">
        <v>92</v>
      </c>
      <c r="B46" s="3">
        <v>45544</v>
      </c>
      <c r="C46" s="2">
        <v>2024</v>
      </c>
      <c r="D46" s="2" t="s">
        <v>64</v>
      </c>
      <c r="E46" s="2" t="s">
        <v>16</v>
      </c>
      <c r="F46" s="2" t="s">
        <v>43</v>
      </c>
      <c r="G46" s="2" t="s">
        <v>29</v>
      </c>
      <c r="H46" s="2" t="s">
        <v>39</v>
      </c>
      <c r="I46" s="2" t="s">
        <v>25</v>
      </c>
      <c r="J46" s="2">
        <v>12596</v>
      </c>
      <c r="K46" s="2">
        <v>7</v>
      </c>
      <c r="L46" s="2">
        <v>0.14000000000000001</v>
      </c>
      <c r="M46" s="2">
        <v>10471.290000000001</v>
      </c>
      <c r="N46" s="2">
        <v>2124.71</v>
      </c>
      <c r="O46" s="5">
        <f t="shared" si="0"/>
        <v>1799.4285714285713</v>
      </c>
    </row>
    <row r="47" spans="1:15" x14ac:dyDescent="0.3">
      <c r="A47" s="4" t="s">
        <v>93</v>
      </c>
      <c r="B47" s="3">
        <v>45363</v>
      </c>
      <c r="C47" s="2">
        <v>2024</v>
      </c>
      <c r="D47" s="2" t="s">
        <v>32</v>
      </c>
      <c r="E47" s="2" t="s">
        <v>42</v>
      </c>
      <c r="F47" s="2" t="s">
        <v>43</v>
      </c>
      <c r="G47" s="2" t="s">
        <v>35</v>
      </c>
      <c r="H47" s="2" t="s">
        <v>30</v>
      </c>
      <c r="I47" s="2" t="s">
        <v>20</v>
      </c>
      <c r="J47" s="2">
        <v>11399.04</v>
      </c>
      <c r="K47" s="2">
        <v>8</v>
      </c>
      <c r="L47" s="2">
        <v>0.1</v>
      </c>
      <c r="M47" s="2">
        <v>8663.89</v>
      </c>
      <c r="N47" s="2">
        <v>2735.15</v>
      </c>
      <c r="O47" s="5">
        <f t="shared" si="0"/>
        <v>1424.88</v>
      </c>
    </row>
    <row r="48" spans="1:15" x14ac:dyDescent="0.3">
      <c r="A48" s="4" t="s">
        <v>94</v>
      </c>
      <c r="B48" s="3">
        <v>45571</v>
      </c>
      <c r="C48" s="2">
        <v>2024</v>
      </c>
      <c r="D48" s="2" t="s">
        <v>67</v>
      </c>
      <c r="E48" s="2" t="s">
        <v>23</v>
      </c>
      <c r="F48" s="2" t="s">
        <v>17</v>
      </c>
      <c r="G48" s="2" t="s">
        <v>35</v>
      </c>
      <c r="H48" s="2" t="s">
        <v>30</v>
      </c>
      <c r="I48" s="2" t="s">
        <v>20</v>
      </c>
      <c r="J48" s="2">
        <v>26732.05</v>
      </c>
      <c r="K48" s="2">
        <v>6</v>
      </c>
      <c r="L48" s="2">
        <v>0.15</v>
      </c>
      <c r="M48" s="2">
        <v>15217.58</v>
      </c>
      <c r="N48" s="2">
        <v>11514.47</v>
      </c>
      <c r="O48" s="5">
        <f t="shared" si="0"/>
        <v>4455.3416666666662</v>
      </c>
    </row>
    <row r="49" spans="1:15" x14ac:dyDescent="0.3">
      <c r="A49" s="4" t="s">
        <v>95</v>
      </c>
      <c r="B49" s="3">
        <v>45302</v>
      </c>
      <c r="C49" s="2">
        <v>2024</v>
      </c>
      <c r="D49" s="2" t="s">
        <v>27</v>
      </c>
      <c r="E49" s="2" t="s">
        <v>23</v>
      </c>
      <c r="F49" s="2" t="s">
        <v>34</v>
      </c>
      <c r="G49" s="2" t="s">
        <v>29</v>
      </c>
      <c r="H49" s="2" t="s">
        <v>52</v>
      </c>
      <c r="I49" s="2" t="s">
        <v>56</v>
      </c>
      <c r="J49" s="2">
        <v>31973.15</v>
      </c>
      <c r="K49" s="2">
        <v>4</v>
      </c>
      <c r="L49" s="2">
        <v>0.13</v>
      </c>
      <c r="M49" s="2">
        <v>25648.49</v>
      </c>
      <c r="N49" s="2">
        <v>6324.66</v>
      </c>
      <c r="O49" s="5">
        <f t="shared" si="0"/>
        <v>7993.2875000000004</v>
      </c>
    </row>
    <row r="50" spans="1:15" x14ac:dyDescent="0.3">
      <c r="A50" s="4" t="s">
        <v>96</v>
      </c>
      <c r="B50" s="3">
        <v>45525</v>
      </c>
      <c r="C50" s="2">
        <v>2024</v>
      </c>
      <c r="D50" s="2" t="s">
        <v>54</v>
      </c>
      <c r="E50" s="2" t="s">
        <v>16</v>
      </c>
      <c r="F50" s="2" t="s">
        <v>24</v>
      </c>
      <c r="G50" s="2" t="s">
        <v>29</v>
      </c>
      <c r="H50" s="2" t="s">
        <v>39</v>
      </c>
      <c r="I50" s="2" t="s">
        <v>56</v>
      </c>
      <c r="J50" s="2">
        <v>16826.2</v>
      </c>
      <c r="K50" s="2">
        <v>4</v>
      </c>
      <c r="L50" s="2">
        <v>0.18</v>
      </c>
      <c r="M50" s="2">
        <v>13591.84</v>
      </c>
      <c r="N50" s="2">
        <v>3234.36</v>
      </c>
      <c r="O50" s="5">
        <f t="shared" si="0"/>
        <v>4206.55</v>
      </c>
    </row>
    <row r="51" spans="1:15" x14ac:dyDescent="0.3">
      <c r="A51" s="4" t="s">
        <v>97</v>
      </c>
      <c r="B51" s="3">
        <v>45583</v>
      </c>
      <c r="C51" s="2">
        <v>2024</v>
      </c>
      <c r="D51" s="2" t="s">
        <v>67</v>
      </c>
      <c r="E51" s="2" t="s">
        <v>28</v>
      </c>
      <c r="F51" s="2" t="s">
        <v>43</v>
      </c>
      <c r="G51" s="2" t="s">
        <v>29</v>
      </c>
      <c r="H51" s="2" t="s">
        <v>30</v>
      </c>
      <c r="I51" s="2" t="s">
        <v>25</v>
      </c>
      <c r="J51" s="2">
        <v>7108.85</v>
      </c>
      <c r="K51" s="2">
        <v>10</v>
      </c>
      <c r="L51" s="2">
        <v>0.25</v>
      </c>
      <c r="M51" s="2">
        <v>4080.36</v>
      </c>
      <c r="N51" s="2">
        <v>3028.49</v>
      </c>
      <c r="O51" s="5">
        <f t="shared" si="0"/>
        <v>710.88499999999999</v>
      </c>
    </row>
    <row r="52" spans="1:15" x14ac:dyDescent="0.3">
      <c r="A52" s="4" t="s">
        <v>98</v>
      </c>
      <c r="B52" s="3">
        <v>45609</v>
      </c>
      <c r="C52" s="2">
        <v>2024</v>
      </c>
      <c r="D52" s="2" t="s">
        <v>62</v>
      </c>
      <c r="E52" s="2" t="s">
        <v>49</v>
      </c>
      <c r="F52" s="2" t="s">
        <v>38</v>
      </c>
      <c r="G52" s="2" t="s">
        <v>29</v>
      </c>
      <c r="H52" s="2" t="s">
        <v>58</v>
      </c>
      <c r="I52" s="2" t="s">
        <v>56</v>
      </c>
      <c r="J52" s="2">
        <v>19451.18</v>
      </c>
      <c r="K52" s="2">
        <v>11</v>
      </c>
      <c r="L52" s="2">
        <v>0.09</v>
      </c>
      <c r="M52" s="2">
        <v>13054.03</v>
      </c>
      <c r="N52" s="2">
        <v>6397.15</v>
      </c>
      <c r="O52" s="5">
        <f t="shared" si="0"/>
        <v>1768.2890909090909</v>
      </c>
    </row>
    <row r="53" spans="1:15" x14ac:dyDescent="0.3">
      <c r="A53" s="4" t="s">
        <v>99</v>
      </c>
      <c r="B53" s="3">
        <v>45443</v>
      </c>
      <c r="C53" s="2">
        <v>2024</v>
      </c>
      <c r="D53" s="2" t="s">
        <v>83</v>
      </c>
      <c r="E53" s="2" t="s">
        <v>42</v>
      </c>
      <c r="F53" s="2" t="s">
        <v>24</v>
      </c>
      <c r="G53" s="2" t="s">
        <v>18</v>
      </c>
      <c r="H53" s="2" t="s">
        <v>52</v>
      </c>
      <c r="I53" s="2" t="s">
        <v>25</v>
      </c>
      <c r="J53" s="2">
        <v>16542.75</v>
      </c>
      <c r="K53" s="2">
        <v>7</v>
      </c>
      <c r="L53" s="2">
        <v>0.05</v>
      </c>
      <c r="M53" s="2">
        <v>9884.32</v>
      </c>
      <c r="N53" s="2">
        <v>6658.43</v>
      </c>
      <c r="O53" s="5">
        <f t="shared" si="0"/>
        <v>2363.25</v>
      </c>
    </row>
    <row r="54" spans="1:15" x14ac:dyDescent="0.3">
      <c r="A54" s="4" t="s">
        <v>100</v>
      </c>
      <c r="B54" s="3">
        <v>45384</v>
      </c>
      <c r="C54" s="2">
        <v>2024</v>
      </c>
      <c r="D54" s="2" t="s">
        <v>37</v>
      </c>
      <c r="E54" s="2" t="s">
        <v>16</v>
      </c>
      <c r="F54" s="2" t="s">
        <v>17</v>
      </c>
      <c r="G54" s="2" t="s">
        <v>35</v>
      </c>
      <c r="H54" s="2" t="s">
        <v>30</v>
      </c>
      <c r="I54" s="2" t="s">
        <v>56</v>
      </c>
      <c r="J54" s="2">
        <v>17879.88</v>
      </c>
      <c r="K54" s="2">
        <v>10</v>
      </c>
      <c r="L54" s="2">
        <v>0.04</v>
      </c>
      <c r="M54" s="2">
        <v>11687.07</v>
      </c>
      <c r="N54" s="2">
        <v>6192.81</v>
      </c>
      <c r="O54" s="5">
        <f t="shared" si="0"/>
        <v>1787.9880000000001</v>
      </c>
    </row>
    <row r="55" spans="1:15" x14ac:dyDescent="0.3">
      <c r="A55" s="4" t="s">
        <v>101</v>
      </c>
      <c r="B55" s="3">
        <v>45539</v>
      </c>
      <c r="C55" s="2">
        <v>2024</v>
      </c>
      <c r="D55" s="2" t="s">
        <v>64</v>
      </c>
      <c r="E55" s="2" t="s">
        <v>28</v>
      </c>
      <c r="F55" s="2" t="s">
        <v>17</v>
      </c>
      <c r="G55" s="2" t="s">
        <v>29</v>
      </c>
      <c r="H55" s="2" t="s">
        <v>52</v>
      </c>
      <c r="I55" s="2" t="s">
        <v>56</v>
      </c>
      <c r="J55" s="2">
        <v>10203.14</v>
      </c>
      <c r="K55" s="2">
        <v>5</v>
      </c>
      <c r="L55" s="2">
        <v>0.1</v>
      </c>
      <c r="M55" s="2">
        <v>5613.71</v>
      </c>
      <c r="N55" s="2">
        <v>4589.43</v>
      </c>
      <c r="O55" s="5">
        <f t="shared" si="0"/>
        <v>2040.6279999999999</v>
      </c>
    </row>
    <row r="56" spans="1:15" x14ac:dyDescent="0.3">
      <c r="A56" s="4" t="s">
        <v>102</v>
      </c>
      <c r="B56" s="3">
        <v>45516</v>
      </c>
      <c r="C56" s="2">
        <v>2024</v>
      </c>
      <c r="D56" s="2" t="s">
        <v>54</v>
      </c>
      <c r="E56" s="2" t="s">
        <v>42</v>
      </c>
      <c r="F56" s="2" t="s">
        <v>34</v>
      </c>
      <c r="G56" s="2" t="s">
        <v>18</v>
      </c>
      <c r="H56" s="2" t="s">
        <v>52</v>
      </c>
      <c r="I56" s="2" t="s">
        <v>56</v>
      </c>
      <c r="J56" s="2">
        <v>30968.22</v>
      </c>
      <c r="K56" s="2">
        <v>8</v>
      </c>
      <c r="L56" s="2">
        <v>0.23</v>
      </c>
      <c r="M56" s="2">
        <v>22751.18</v>
      </c>
      <c r="N56" s="2">
        <v>8217.0400000000009</v>
      </c>
      <c r="O56" s="5">
        <f t="shared" si="0"/>
        <v>3871.0275000000001</v>
      </c>
    </row>
    <row r="57" spans="1:15" x14ac:dyDescent="0.3">
      <c r="A57" s="4" t="s">
        <v>103</v>
      </c>
      <c r="B57" s="3">
        <v>45441</v>
      </c>
      <c r="C57" s="2">
        <v>2024</v>
      </c>
      <c r="D57" s="2" t="s">
        <v>83</v>
      </c>
      <c r="E57" s="2" t="s">
        <v>16</v>
      </c>
      <c r="F57" s="2" t="s">
        <v>43</v>
      </c>
      <c r="G57" s="2" t="s">
        <v>18</v>
      </c>
      <c r="H57" s="2" t="s">
        <v>39</v>
      </c>
      <c r="I57" s="2" t="s">
        <v>56</v>
      </c>
      <c r="J57" s="2">
        <v>8727.32</v>
      </c>
      <c r="K57" s="2">
        <v>3</v>
      </c>
      <c r="L57" s="2">
        <v>0.05</v>
      </c>
      <c r="M57" s="2">
        <v>5351.07</v>
      </c>
      <c r="N57" s="2">
        <v>3376.25</v>
      </c>
      <c r="O57" s="5">
        <f t="shared" si="0"/>
        <v>2909.1066666666666</v>
      </c>
    </row>
    <row r="58" spans="1:15" x14ac:dyDescent="0.3">
      <c r="A58" s="4" t="s">
        <v>104</v>
      </c>
      <c r="B58" s="3">
        <v>45648</v>
      </c>
      <c r="C58" s="2">
        <v>2024</v>
      </c>
      <c r="D58" s="2" t="s">
        <v>41</v>
      </c>
      <c r="E58" s="2" t="s">
        <v>23</v>
      </c>
      <c r="F58" s="2" t="s">
        <v>24</v>
      </c>
      <c r="G58" s="2" t="s">
        <v>35</v>
      </c>
      <c r="H58" s="2" t="s">
        <v>58</v>
      </c>
      <c r="I58" s="2" t="s">
        <v>20</v>
      </c>
      <c r="J58" s="2">
        <v>2314.94</v>
      </c>
      <c r="K58" s="2">
        <v>8</v>
      </c>
      <c r="L58" s="2">
        <v>0.09</v>
      </c>
      <c r="M58" s="2">
        <v>1843.25</v>
      </c>
      <c r="N58" s="2">
        <v>471.69</v>
      </c>
      <c r="O58" s="5">
        <f t="shared" si="0"/>
        <v>289.36750000000001</v>
      </c>
    </row>
    <row r="59" spans="1:15" x14ac:dyDescent="0.3">
      <c r="A59" s="4" t="s">
        <v>105</v>
      </c>
      <c r="B59" s="3">
        <v>45359</v>
      </c>
      <c r="C59" s="2">
        <v>2024</v>
      </c>
      <c r="D59" s="2" t="s">
        <v>32</v>
      </c>
      <c r="E59" s="2" t="s">
        <v>28</v>
      </c>
      <c r="F59" s="2" t="s">
        <v>24</v>
      </c>
      <c r="G59" s="2" t="s">
        <v>35</v>
      </c>
      <c r="H59" s="2" t="s">
        <v>47</v>
      </c>
      <c r="I59" s="2" t="s">
        <v>20</v>
      </c>
      <c r="J59" s="2">
        <v>28244.45</v>
      </c>
      <c r="K59" s="2">
        <v>9</v>
      </c>
      <c r="L59" s="2">
        <v>0.22</v>
      </c>
      <c r="M59" s="2">
        <v>23621.32</v>
      </c>
      <c r="N59" s="2">
        <v>4623.13</v>
      </c>
      <c r="O59" s="5">
        <f t="shared" si="0"/>
        <v>3138.2722222222224</v>
      </c>
    </row>
    <row r="60" spans="1:15" x14ac:dyDescent="0.3">
      <c r="A60" s="4" t="s">
        <v>106</v>
      </c>
      <c r="B60" s="3">
        <v>45511</v>
      </c>
      <c r="C60" s="2">
        <v>2024</v>
      </c>
      <c r="D60" s="2" t="s">
        <v>54</v>
      </c>
      <c r="E60" s="2" t="s">
        <v>28</v>
      </c>
      <c r="F60" s="2" t="s">
        <v>38</v>
      </c>
      <c r="G60" s="2" t="s">
        <v>18</v>
      </c>
      <c r="H60" s="2" t="s">
        <v>30</v>
      </c>
      <c r="I60" s="2" t="s">
        <v>20</v>
      </c>
      <c r="J60" s="2">
        <v>29906.04</v>
      </c>
      <c r="K60" s="2">
        <v>1</v>
      </c>
      <c r="L60" s="2">
        <v>0.22</v>
      </c>
      <c r="M60" s="2">
        <v>18659.68</v>
      </c>
      <c r="N60" s="2">
        <v>11246.36</v>
      </c>
      <c r="O60" s="5">
        <f t="shared" si="0"/>
        <v>29906.04</v>
      </c>
    </row>
    <row r="61" spans="1:15" x14ac:dyDescent="0.3">
      <c r="A61" s="4" t="s">
        <v>107</v>
      </c>
      <c r="B61" s="3">
        <v>45311</v>
      </c>
      <c r="C61" s="2">
        <v>2024</v>
      </c>
      <c r="D61" s="2" t="s">
        <v>27</v>
      </c>
      <c r="E61" s="2" t="s">
        <v>28</v>
      </c>
      <c r="F61" s="2" t="s">
        <v>24</v>
      </c>
      <c r="G61" s="2" t="s">
        <v>18</v>
      </c>
      <c r="H61" s="2" t="s">
        <v>19</v>
      </c>
      <c r="I61" s="2" t="s">
        <v>20</v>
      </c>
      <c r="J61" s="2">
        <v>10159.370000000001</v>
      </c>
      <c r="K61" s="2">
        <v>11</v>
      </c>
      <c r="L61" s="2">
        <v>0.15</v>
      </c>
      <c r="M61" s="2">
        <v>8470.9699999999993</v>
      </c>
      <c r="N61" s="2">
        <v>1688.4</v>
      </c>
      <c r="O61" s="5">
        <f t="shared" si="0"/>
        <v>923.57909090909095</v>
      </c>
    </row>
    <row r="62" spans="1:15" x14ac:dyDescent="0.3">
      <c r="A62" s="4" t="s">
        <v>108</v>
      </c>
      <c r="B62" s="3">
        <v>45296</v>
      </c>
      <c r="C62" s="2">
        <v>2024</v>
      </c>
      <c r="D62" s="2" t="s">
        <v>27</v>
      </c>
      <c r="E62" s="2" t="s">
        <v>28</v>
      </c>
      <c r="F62" s="2" t="s">
        <v>17</v>
      </c>
      <c r="G62" s="2" t="s">
        <v>18</v>
      </c>
      <c r="H62" s="2" t="s">
        <v>39</v>
      </c>
      <c r="I62" s="2" t="s">
        <v>56</v>
      </c>
      <c r="J62" s="2">
        <v>7597.51</v>
      </c>
      <c r="K62" s="2">
        <v>3</v>
      </c>
      <c r="L62" s="2">
        <v>0.19</v>
      </c>
      <c r="M62" s="2">
        <v>5790.12</v>
      </c>
      <c r="N62" s="2">
        <v>1807.39</v>
      </c>
      <c r="O62" s="5">
        <f t="shared" si="0"/>
        <v>2532.5033333333336</v>
      </c>
    </row>
    <row r="63" spans="1:15" x14ac:dyDescent="0.3">
      <c r="A63" s="4" t="s">
        <v>109</v>
      </c>
      <c r="B63" s="3">
        <v>45567</v>
      </c>
      <c r="C63" s="2">
        <v>2024</v>
      </c>
      <c r="D63" s="2" t="s">
        <v>67</v>
      </c>
      <c r="E63" s="2" t="s">
        <v>49</v>
      </c>
      <c r="F63" s="2" t="s">
        <v>43</v>
      </c>
      <c r="G63" s="2" t="s">
        <v>29</v>
      </c>
      <c r="H63" s="2" t="s">
        <v>58</v>
      </c>
      <c r="I63" s="2" t="s">
        <v>20</v>
      </c>
      <c r="J63" s="2">
        <v>23556.83</v>
      </c>
      <c r="K63" s="2">
        <v>9</v>
      </c>
      <c r="L63" s="2">
        <v>0.22</v>
      </c>
      <c r="M63" s="2">
        <v>18552.82</v>
      </c>
      <c r="N63" s="2">
        <v>5004.01</v>
      </c>
      <c r="O63" s="5">
        <f t="shared" si="0"/>
        <v>2617.4255555555555</v>
      </c>
    </row>
    <row r="64" spans="1:15" x14ac:dyDescent="0.3">
      <c r="A64" s="4" t="s">
        <v>110</v>
      </c>
      <c r="B64" s="3">
        <v>45325</v>
      </c>
      <c r="C64" s="2">
        <v>2024</v>
      </c>
      <c r="D64" s="2" t="s">
        <v>51</v>
      </c>
      <c r="E64" s="2" t="s">
        <v>42</v>
      </c>
      <c r="F64" s="2" t="s">
        <v>43</v>
      </c>
      <c r="G64" s="2" t="s">
        <v>29</v>
      </c>
      <c r="H64" s="2" t="s">
        <v>39</v>
      </c>
      <c r="I64" s="2" t="s">
        <v>20</v>
      </c>
      <c r="J64" s="2">
        <v>36849.51</v>
      </c>
      <c r="K64" s="2">
        <v>3</v>
      </c>
      <c r="L64" s="2">
        <v>0.02</v>
      </c>
      <c r="M64" s="2">
        <v>27203.08</v>
      </c>
      <c r="N64" s="2">
        <v>9646.43</v>
      </c>
      <c r="O64" s="5">
        <f t="shared" si="0"/>
        <v>12283.17</v>
      </c>
    </row>
    <row r="65" spans="1:15" x14ac:dyDescent="0.3">
      <c r="A65" s="4" t="s">
        <v>111</v>
      </c>
      <c r="B65" s="3">
        <v>45415</v>
      </c>
      <c r="C65" s="2">
        <v>2024</v>
      </c>
      <c r="D65" s="2" t="s">
        <v>83</v>
      </c>
      <c r="E65" s="2" t="s">
        <v>23</v>
      </c>
      <c r="F65" s="2" t="s">
        <v>17</v>
      </c>
      <c r="G65" s="2" t="s">
        <v>18</v>
      </c>
      <c r="H65" s="2" t="s">
        <v>30</v>
      </c>
      <c r="I65" s="2" t="s">
        <v>56</v>
      </c>
      <c r="J65" s="2">
        <v>10756.15</v>
      </c>
      <c r="K65" s="2">
        <v>3</v>
      </c>
      <c r="L65" s="2">
        <v>0.1</v>
      </c>
      <c r="M65" s="2">
        <v>8141.96</v>
      </c>
      <c r="N65" s="2">
        <v>2614.19</v>
      </c>
      <c r="O65" s="5">
        <f t="shared" si="0"/>
        <v>3585.3833333333332</v>
      </c>
    </row>
    <row r="66" spans="1:15" x14ac:dyDescent="0.3">
      <c r="A66" s="4" t="s">
        <v>112</v>
      </c>
      <c r="B66" s="3">
        <v>45578</v>
      </c>
      <c r="C66" s="2">
        <v>2024</v>
      </c>
      <c r="D66" s="2" t="s">
        <v>67</v>
      </c>
      <c r="E66" s="2" t="s">
        <v>16</v>
      </c>
      <c r="F66" s="2" t="s">
        <v>17</v>
      </c>
      <c r="G66" s="2" t="s">
        <v>29</v>
      </c>
      <c r="H66" s="2" t="s">
        <v>39</v>
      </c>
      <c r="I66" s="2" t="s">
        <v>25</v>
      </c>
      <c r="J66" s="2">
        <v>21968.16</v>
      </c>
      <c r="K66" s="2">
        <v>1</v>
      </c>
      <c r="L66" s="2">
        <v>0.23</v>
      </c>
      <c r="M66" s="2">
        <v>16073.03</v>
      </c>
      <c r="N66" s="2">
        <v>5895.13</v>
      </c>
      <c r="O66" s="5">
        <f t="shared" si="0"/>
        <v>21968.16</v>
      </c>
    </row>
    <row r="67" spans="1:15" x14ac:dyDescent="0.3">
      <c r="A67" s="4" t="s">
        <v>113</v>
      </c>
      <c r="B67" s="3">
        <v>45477</v>
      </c>
      <c r="C67" s="2">
        <v>2024</v>
      </c>
      <c r="D67" s="2" t="s">
        <v>22</v>
      </c>
      <c r="E67" s="2" t="s">
        <v>23</v>
      </c>
      <c r="F67" s="2" t="s">
        <v>24</v>
      </c>
      <c r="G67" s="2" t="s">
        <v>35</v>
      </c>
      <c r="H67" s="2" t="s">
        <v>47</v>
      </c>
      <c r="I67" s="2" t="s">
        <v>56</v>
      </c>
      <c r="J67" s="2">
        <v>11163.63</v>
      </c>
      <c r="K67" s="2">
        <v>8</v>
      </c>
      <c r="L67" s="2">
        <v>0.13</v>
      </c>
      <c r="M67" s="2">
        <v>8460.58</v>
      </c>
      <c r="N67" s="2">
        <v>2703.05</v>
      </c>
      <c r="O67" s="5">
        <f t="shared" ref="O67:O130" si="1">J67/K67</f>
        <v>1395.4537499999999</v>
      </c>
    </row>
    <row r="68" spans="1:15" x14ac:dyDescent="0.3">
      <c r="A68" s="4" t="s">
        <v>114</v>
      </c>
      <c r="B68" s="3">
        <v>45521</v>
      </c>
      <c r="C68" s="2">
        <v>2024</v>
      </c>
      <c r="D68" s="2" t="s">
        <v>54</v>
      </c>
      <c r="E68" s="2" t="s">
        <v>42</v>
      </c>
      <c r="F68" s="2" t="s">
        <v>38</v>
      </c>
      <c r="G68" s="2" t="s">
        <v>18</v>
      </c>
      <c r="H68" s="2" t="s">
        <v>47</v>
      </c>
      <c r="I68" s="2" t="s">
        <v>56</v>
      </c>
      <c r="J68" s="2">
        <v>29872.59</v>
      </c>
      <c r="K68" s="2">
        <v>8</v>
      </c>
      <c r="L68" s="2">
        <v>0.05</v>
      </c>
      <c r="M68" s="2">
        <v>18037.88</v>
      </c>
      <c r="N68" s="2">
        <v>11834.71</v>
      </c>
      <c r="O68" s="5">
        <f t="shared" si="1"/>
        <v>3734.07375</v>
      </c>
    </row>
    <row r="69" spans="1:15" x14ac:dyDescent="0.3">
      <c r="A69" s="4" t="s">
        <v>115</v>
      </c>
      <c r="B69" s="3">
        <v>45621</v>
      </c>
      <c r="C69" s="2">
        <v>2024</v>
      </c>
      <c r="D69" s="2" t="s">
        <v>62</v>
      </c>
      <c r="E69" s="2" t="s">
        <v>23</v>
      </c>
      <c r="F69" s="2" t="s">
        <v>43</v>
      </c>
      <c r="G69" s="2" t="s">
        <v>18</v>
      </c>
      <c r="H69" s="2" t="s">
        <v>39</v>
      </c>
      <c r="I69" s="2" t="s">
        <v>25</v>
      </c>
      <c r="J69" s="2">
        <v>19110.18</v>
      </c>
      <c r="K69" s="2">
        <v>4</v>
      </c>
      <c r="L69" s="2">
        <v>0.12</v>
      </c>
      <c r="M69" s="2">
        <v>13754.28</v>
      </c>
      <c r="N69" s="2">
        <v>5355.9</v>
      </c>
      <c r="O69" s="5">
        <f t="shared" si="1"/>
        <v>4777.5450000000001</v>
      </c>
    </row>
    <row r="70" spans="1:15" x14ac:dyDescent="0.3">
      <c r="A70" s="4" t="s">
        <v>116</v>
      </c>
      <c r="B70" s="3">
        <v>45422</v>
      </c>
      <c r="C70" s="2">
        <v>2024</v>
      </c>
      <c r="D70" s="2" t="s">
        <v>83</v>
      </c>
      <c r="E70" s="2" t="s">
        <v>16</v>
      </c>
      <c r="F70" s="2" t="s">
        <v>17</v>
      </c>
      <c r="G70" s="2" t="s">
        <v>35</v>
      </c>
      <c r="H70" s="2" t="s">
        <v>19</v>
      </c>
      <c r="I70" s="2" t="s">
        <v>20</v>
      </c>
      <c r="J70" s="2">
        <v>15655.09</v>
      </c>
      <c r="K70" s="2">
        <v>6</v>
      </c>
      <c r="L70" s="2">
        <v>0.2</v>
      </c>
      <c r="M70" s="2">
        <v>10527.31</v>
      </c>
      <c r="N70" s="2">
        <v>5127.78</v>
      </c>
      <c r="O70" s="5">
        <f t="shared" si="1"/>
        <v>2609.1816666666668</v>
      </c>
    </row>
    <row r="71" spans="1:15" x14ac:dyDescent="0.3">
      <c r="A71" s="4" t="s">
        <v>117</v>
      </c>
      <c r="B71" s="3">
        <v>45375</v>
      </c>
      <c r="C71" s="2">
        <v>2024</v>
      </c>
      <c r="D71" s="2" t="s">
        <v>32</v>
      </c>
      <c r="E71" s="2" t="s">
        <v>23</v>
      </c>
      <c r="F71" s="2" t="s">
        <v>17</v>
      </c>
      <c r="G71" s="2" t="s">
        <v>29</v>
      </c>
      <c r="H71" s="2" t="s">
        <v>52</v>
      </c>
      <c r="I71" s="2" t="s">
        <v>20</v>
      </c>
      <c r="J71" s="2">
        <v>26520.71</v>
      </c>
      <c r="K71" s="2">
        <v>11</v>
      </c>
      <c r="L71" s="2">
        <v>0.24</v>
      </c>
      <c r="M71" s="2">
        <v>14648.13</v>
      </c>
      <c r="N71" s="2">
        <v>11872.58</v>
      </c>
      <c r="O71" s="5">
        <f t="shared" si="1"/>
        <v>2410.9736363636362</v>
      </c>
    </row>
    <row r="72" spans="1:15" x14ac:dyDescent="0.3">
      <c r="A72" s="4" t="s">
        <v>118</v>
      </c>
      <c r="B72" s="3">
        <v>45313</v>
      </c>
      <c r="C72" s="2">
        <v>2024</v>
      </c>
      <c r="D72" s="2" t="s">
        <v>27</v>
      </c>
      <c r="E72" s="2" t="s">
        <v>28</v>
      </c>
      <c r="F72" s="2" t="s">
        <v>38</v>
      </c>
      <c r="G72" s="2" t="s">
        <v>29</v>
      </c>
      <c r="H72" s="2" t="s">
        <v>47</v>
      </c>
      <c r="I72" s="2" t="s">
        <v>56</v>
      </c>
      <c r="J72" s="2">
        <v>21631.65</v>
      </c>
      <c r="K72" s="2">
        <v>2</v>
      </c>
      <c r="L72" s="2">
        <v>0.21</v>
      </c>
      <c r="M72" s="2">
        <v>15498.97</v>
      </c>
      <c r="N72" s="2">
        <v>6132.68</v>
      </c>
      <c r="O72" s="5">
        <f t="shared" si="1"/>
        <v>10815.825000000001</v>
      </c>
    </row>
    <row r="73" spans="1:15" x14ac:dyDescent="0.3">
      <c r="A73" s="4" t="s">
        <v>119</v>
      </c>
      <c r="B73" s="3">
        <v>45411</v>
      </c>
      <c r="C73" s="2">
        <v>2024</v>
      </c>
      <c r="D73" s="2" t="s">
        <v>37</v>
      </c>
      <c r="E73" s="2" t="s">
        <v>23</v>
      </c>
      <c r="F73" s="2" t="s">
        <v>38</v>
      </c>
      <c r="G73" s="2" t="s">
        <v>18</v>
      </c>
      <c r="H73" s="2" t="s">
        <v>47</v>
      </c>
      <c r="I73" s="2" t="s">
        <v>20</v>
      </c>
      <c r="J73" s="2">
        <v>8685.0499999999993</v>
      </c>
      <c r="K73" s="2">
        <v>3</v>
      </c>
      <c r="L73" s="2">
        <v>0.13</v>
      </c>
      <c r="M73" s="2">
        <v>6897.54</v>
      </c>
      <c r="N73" s="2">
        <v>1787.51</v>
      </c>
      <c r="O73" s="5">
        <f t="shared" si="1"/>
        <v>2895.0166666666664</v>
      </c>
    </row>
    <row r="74" spans="1:15" x14ac:dyDescent="0.3">
      <c r="A74" s="4" t="s">
        <v>120</v>
      </c>
      <c r="B74" s="3">
        <v>45359</v>
      </c>
      <c r="C74" s="2">
        <v>2024</v>
      </c>
      <c r="D74" s="2" t="s">
        <v>32</v>
      </c>
      <c r="E74" s="2" t="s">
        <v>28</v>
      </c>
      <c r="F74" s="2" t="s">
        <v>38</v>
      </c>
      <c r="G74" s="2" t="s">
        <v>35</v>
      </c>
      <c r="H74" s="2" t="s">
        <v>58</v>
      </c>
      <c r="I74" s="2" t="s">
        <v>56</v>
      </c>
      <c r="J74" s="2">
        <v>17115.52</v>
      </c>
      <c r="K74" s="2">
        <v>2</v>
      </c>
      <c r="L74" s="2">
        <v>0.17</v>
      </c>
      <c r="M74" s="2">
        <v>9765.33</v>
      </c>
      <c r="N74" s="2">
        <v>7350.19</v>
      </c>
      <c r="O74" s="5">
        <f t="shared" si="1"/>
        <v>8557.76</v>
      </c>
    </row>
    <row r="75" spans="1:15" x14ac:dyDescent="0.3">
      <c r="A75" s="4" t="s">
        <v>121</v>
      </c>
      <c r="B75" s="3">
        <v>45495</v>
      </c>
      <c r="C75" s="2">
        <v>2024</v>
      </c>
      <c r="D75" s="2" t="s">
        <v>22</v>
      </c>
      <c r="E75" s="2" t="s">
        <v>16</v>
      </c>
      <c r="F75" s="2" t="s">
        <v>34</v>
      </c>
      <c r="G75" s="2" t="s">
        <v>18</v>
      </c>
      <c r="H75" s="2" t="s">
        <v>58</v>
      </c>
      <c r="I75" s="2" t="s">
        <v>56</v>
      </c>
      <c r="J75" s="2">
        <v>38294.550000000003</v>
      </c>
      <c r="K75" s="2">
        <v>2</v>
      </c>
      <c r="L75" s="2">
        <v>0.03</v>
      </c>
      <c r="M75" s="2">
        <v>24985.72</v>
      </c>
      <c r="N75" s="2">
        <v>13308.83</v>
      </c>
      <c r="O75" s="5">
        <f t="shared" si="1"/>
        <v>19147.275000000001</v>
      </c>
    </row>
    <row r="76" spans="1:15" x14ac:dyDescent="0.3">
      <c r="A76" s="4" t="s">
        <v>122</v>
      </c>
      <c r="B76" s="3">
        <v>45339</v>
      </c>
      <c r="C76" s="2">
        <v>2024</v>
      </c>
      <c r="D76" s="2" t="s">
        <v>51</v>
      </c>
      <c r="E76" s="2" t="s">
        <v>49</v>
      </c>
      <c r="F76" s="2" t="s">
        <v>43</v>
      </c>
      <c r="G76" s="2" t="s">
        <v>29</v>
      </c>
      <c r="H76" s="2" t="s">
        <v>47</v>
      </c>
      <c r="I76" s="2" t="s">
        <v>20</v>
      </c>
      <c r="J76" s="2">
        <v>32204.5</v>
      </c>
      <c r="K76" s="2">
        <v>5</v>
      </c>
      <c r="L76" s="2">
        <v>0.24</v>
      </c>
      <c r="M76" s="2">
        <v>25574.07</v>
      </c>
      <c r="N76" s="2">
        <v>6630.43</v>
      </c>
      <c r="O76" s="5">
        <f t="shared" si="1"/>
        <v>6440.9</v>
      </c>
    </row>
    <row r="77" spans="1:15" x14ac:dyDescent="0.3">
      <c r="A77" s="4" t="s">
        <v>123</v>
      </c>
      <c r="B77" s="3">
        <v>45564</v>
      </c>
      <c r="C77" s="2">
        <v>2024</v>
      </c>
      <c r="D77" s="2" t="s">
        <v>64</v>
      </c>
      <c r="E77" s="2" t="s">
        <v>49</v>
      </c>
      <c r="F77" s="2" t="s">
        <v>43</v>
      </c>
      <c r="G77" s="2" t="s">
        <v>29</v>
      </c>
      <c r="H77" s="2" t="s">
        <v>30</v>
      </c>
      <c r="I77" s="2" t="s">
        <v>20</v>
      </c>
      <c r="J77" s="2">
        <v>20874.66</v>
      </c>
      <c r="K77" s="2">
        <v>10</v>
      </c>
      <c r="L77" s="2">
        <v>0.16</v>
      </c>
      <c r="M77" s="2">
        <v>12565.75</v>
      </c>
      <c r="N77" s="2">
        <v>8308.91</v>
      </c>
      <c r="O77" s="5">
        <f t="shared" si="1"/>
        <v>2087.4659999999999</v>
      </c>
    </row>
    <row r="78" spans="1:15" x14ac:dyDescent="0.3">
      <c r="A78" s="4" t="s">
        <v>124</v>
      </c>
      <c r="B78" s="3">
        <v>45304</v>
      </c>
      <c r="C78" s="2">
        <v>2024</v>
      </c>
      <c r="D78" s="2" t="s">
        <v>27</v>
      </c>
      <c r="E78" s="2" t="s">
        <v>16</v>
      </c>
      <c r="F78" s="2" t="s">
        <v>24</v>
      </c>
      <c r="G78" s="2" t="s">
        <v>18</v>
      </c>
      <c r="H78" s="2" t="s">
        <v>19</v>
      </c>
      <c r="I78" s="2" t="s">
        <v>20</v>
      </c>
      <c r="J78" s="2">
        <v>26690.16</v>
      </c>
      <c r="K78" s="2">
        <v>10</v>
      </c>
      <c r="L78" s="2">
        <v>0</v>
      </c>
      <c r="M78" s="2">
        <v>19967.21</v>
      </c>
      <c r="N78" s="2">
        <v>6722.95</v>
      </c>
      <c r="O78" s="5">
        <f t="shared" si="1"/>
        <v>2669.0160000000001</v>
      </c>
    </row>
    <row r="79" spans="1:15" x14ac:dyDescent="0.3">
      <c r="A79" s="4" t="s">
        <v>125</v>
      </c>
      <c r="B79" s="3">
        <v>45641</v>
      </c>
      <c r="C79" s="2">
        <v>2024</v>
      </c>
      <c r="D79" s="2" t="s">
        <v>41</v>
      </c>
      <c r="E79" s="2" t="s">
        <v>28</v>
      </c>
      <c r="F79" s="2" t="s">
        <v>43</v>
      </c>
      <c r="G79" s="2" t="s">
        <v>29</v>
      </c>
      <c r="H79" s="2" t="s">
        <v>30</v>
      </c>
      <c r="I79" s="2" t="s">
        <v>56</v>
      </c>
      <c r="J79" s="2">
        <v>6380.96</v>
      </c>
      <c r="K79" s="2">
        <v>6</v>
      </c>
      <c r="L79" s="2">
        <v>0.22</v>
      </c>
      <c r="M79" s="2">
        <v>5001.17</v>
      </c>
      <c r="N79" s="2">
        <v>1379.79</v>
      </c>
      <c r="O79" s="5">
        <f t="shared" si="1"/>
        <v>1063.4933333333333</v>
      </c>
    </row>
    <row r="80" spans="1:15" x14ac:dyDescent="0.3">
      <c r="A80" s="4" t="s">
        <v>126</v>
      </c>
      <c r="B80" s="3">
        <v>45399</v>
      </c>
      <c r="C80" s="2">
        <v>2024</v>
      </c>
      <c r="D80" s="2" t="s">
        <v>37</v>
      </c>
      <c r="E80" s="2" t="s">
        <v>16</v>
      </c>
      <c r="F80" s="2" t="s">
        <v>24</v>
      </c>
      <c r="G80" s="2" t="s">
        <v>35</v>
      </c>
      <c r="H80" s="2" t="s">
        <v>47</v>
      </c>
      <c r="I80" s="2" t="s">
        <v>20</v>
      </c>
      <c r="J80" s="2">
        <v>16997.18</v>
      </c>
      <c r="K80" s="2">
        <v>4</v>
      </c>
      <c r="L80" s="2">
        <v>0.03</v>
      </c>
      <c r="M80" s="2">
        <v>11085.73</v>
      </c>
      <c r="N80" s="2">
        <v>5911.45</v>
      </c>
      <c r="O80" s="5">
        <f t="shared" si="1"/>
        <v>4249.2950000000001</v>
      </c>
    </row>
    <row r="81" spans="1:15" x14ac:dyDescent="0.3">
      <c r="A81" s="4" t="s">
        <v>127</v>
      </c>
      <c r="B81" s="3">
        <v>45525</v>
      </c>
      <c r="C81" s="2">
        <v>2024</v>
      </c>
      <c r="D81" s="2" t="s">
        <v>54</v>
      </c>
      <c r="E81" s="2" t="s">
        <v>42</v>
      </c>
      <c r="F81" s="2" t="s">
        <v>17</v>
      </c>
      <c r="G81" s="2" t="s">
        <v>18</v>
      </c>
      <c r="H81" s="2" t="s">
        <v>19</v>
      </c>
      <c r="I81" s="2" t="s">
        <v>20</v>
      </c>
      <c r="J81" s="2">
        <v>35876.800000000003</v>
      </c>
      <c r="K81" s="2">
        <v>4</v>
      </c>
      <c r="L81" s="2">
        <v>0.12</v>
      </c>
      <c r="M81" s="2">
        <v>20768.560000000001</v>
      </c>
      <c r="N81" s="2">
        <v>15108.24</v>
      </c>
      <c r="O81" s="5">
        <f t="shared" si="1"/>
        <v>8969.2000000000007</v>
      </c>
    </row>
    <row r="82" spans="1:15" x14ac:dyDescent="0.3">
      <c r="A82" s="4" t="s">
        <v>128</v>
      </c>
      <c r="B82" s="3">
        <v>45624</v>
      </c>
      <c r="C82" s="2">
        <v>2024</v>
      </c>
      <c r="D82" s="2" t="s">
        <v>62</v>
      </c>
      <c r="E82" s="2" t="s">
        <v>28</v>
      </c>
      <c r="F82" s="2" t="s">
        <v>38</v>
      </c>
      <c r="G82" s="2" t="s">
        <v>35</v>
      </c>
      <c r="H82" s="2" t="s">
        <v>52</v>
      </c>
      <c r="I82" s="2" t="s">
        <v>56</v>
      </c>
      <c r="J82" s="2">
        <v>8174.32</v>
      </c>
      <c r="K82" s="2">
        <v>1</v>
      </c>
      <c r="L82" s="2">
        <v>0.06</v>
      </c>
      <c r="M82" s="2">
        <v>4805.2299999999996</v>
      </c>
      <c r="N82" s="2">
        <v>3369.09</v>
      </c>
      <c r="O82" s="5">
        <f t="shared" si="1"/>
        <v>8174.32</v>
      </c>
    </row>
    <row r="83" spans="1:15" x14ac:dyDescent="0.3">
      <c r="A83" s="4" t="s">
        <v>129</v>
      </c>
      <c r="B83" s="3">
        <v>45615</v>
      </c>
      <c r="C83" s="2">
        <v>2024</v>
      </c>
      <c r="D83" s="2" t="s">
        <v>62</v>
      </c>
      <c r="E83" s="2" t="s">
        <v>23</v>
      </c>
      <c r="F83" s="2" t="s">
        <v>17</v>
      </c>
      <c r="G83" s="2" t="s">
        <v>18</v>
      </c>
      <c r="H83" s="2" t="s">
        <v>39</v>
      </c>
      <c r="I83" s="2" t="s">
        <v>20</v>
      </c>
      <c r="J83" s="2">
        <v>39291.32</v>
      </c>
      <c r="K83" s="2">
        <v>3</v>
      </c>
      <c r="L83" s="2">
        <v>0.08</v>
      </c>
      <c r="M83" s="2">
        <v>23554.76</v>
      </c>
      <c r="N83" s="2">
        <v>15736.56</v>
      </c>
      <c r="O83" s="5">
        <f t="shared" si="1"/>
        <v>13097.106666666667</v>
      </c>
    </row>
    <row r="84" spans="1:15" x14ac:dyDescent="0.3">
      <c r="A84" s="4" t="s">
        <v>130</v>
      </c>
      <c r="B84" s="3">
        <v>45402</v>
      </c>
      <c r="C84" s="2">
        <v>2024</v>
      </c>
      <c r="D84" s="2" t="s">
        <v>37</v>
      </c>
      <c r="E84" s="2" t="s">
        <v>42</v>
      </c>
      <c r="F84" s="2" t="s">
        <v>34</v>
      </c>
      <c r="G84" s="2" t="s">
        <v>35</v>
      </c>
      <c r="H84" s="2" t="s">
        <v>19</v>
      </c>
      <c r="I84" s="2" t="s">
        <v>25</v>
      </c>
      <c r="J84" s="2">
        <v>34045.949999999997</v>
      </c>
      <c r="K84" s="2">
        <v>11</v>
      </c>
      <c r="L84" s="2">
        <v>0.17</v>
      </c>
      <c r="M84" s="2">
        <v>25857.56</v>
      </c>
      <c r="N84" s="2">
        <v>8188.39</v>
      </c>
      <c r="O84" s="5">
        <f t="shared" si="1"/>
        <v>3095.0863636363633</v>
      </c>
    </row>
    <row r="85" spans="1:15" x14ac:dyDescent="0.3">
      <c r="A85" s="4" t="s">
        <v>131</v>
      </c>
      <c r="B85" s="3">
        <v>45434</v>
      </c>
      <c r="C85" s="2">
        <v>2024</v>
      </c>
      <c r="D85" s="2" t="s">
        <v>83</v>
      </c>
      <c r="E85" s="2" t="s">
        <v>42</v>
      </c>
      <c r="F85" s="2" t="s">
        <v>43</v>
      </c>
      <c r="G85" s="2" t="s">
        <v>35</v>
      </c>
      <c r="H85" s="2" t="s">
        <v>39</v>
      </c>
      <c r="I85" s="2" t="s">
        <v>25</v>
      </c>
      <c r="J85" s="2">
        <v>27696.22</v>
      </c>
      <c r="K85" s="2">
        <v>8</v>
      </c>
      <c r="L85" s="2">
        <v>0</v>
      </c>
      <c r="M85" s="2">
        <v>23532.89</v>
      </c>
      <c r="N85" s="2">
        <v>4163.33</v>
      </c>
      <c r="O85" s="5">
        <f t="shared" si="1"/>
        <v>3462.0275000000001</v>
      </c>
    </row>
    <row r="86" spans="1:15" x14ac:dyDescent="0.3">
      <c r="A86" s="4" t="s">
        <v>132</v>
      </c>
      <c r="B86" s="3">
        <v>45416</v>
      </c>
      <c r="C86" s="2">
        <v>2024</v>
      </c>
      <c r="D86" s="2" t="s">
        <v>83</v>
      </c>
      <c r="E86" s="2" t="s">
        <v>49</v>
      </c>
      <c r="F86" s="2" t="s">
        <v>38</v>
      </c>
      <c r="G86" s="2" t="s">
        <v>18</v>
      </c>
      <c r="H86" s="2" t="s">
        <v>58</v>
      </c>
      <c r="I86" s="2" t="s">
        <v>25</v>
      </c>
      <c r="J86" s="2">
        <v>15446.07</v>
      </c>
      <c r="K86" s="2">
        <v>3</v>
      </c>
      <c r="L86" s="2">
        <v>0.13</v>
      </c>
      <c r="M86" s="2">
        <v>12287.36</v>
      </c>
      <c r="N86" s="2">
        <v>3158.71</v>
      </c>
      <c r="O86" s="5">
        <f t="shared" si="1"/>
        <v>5148.6899999999996</v>
      </c>
    </row>
    <row r="87" spans="1:15" x14ac:dyDescent="0.3">
      <c r="A87" s="4" t="s">
        <v>133</v>
      </c>
      <c r="B87" s="3">
        <v>45568</v>
      </c>
      <c r="C87" s="2">
        <v>2024</v>
      </c>
      <c r="D87" s="2" t="s">
        <v>67</v>
      </c>
      <c r="E87" s="2" t="s">
        <v>28</v>
      </c>
      <c r="F87" s="2" t="s">
        <v>24</v>
      </c>
      <c r="G87" s="2" t="s">
        <v>29</v>
      </c>
      <c r="H87" s="2" t="s">
        <v>47</v>
      </c>
      <c r="I87" s="2" t="s">
        <v>20</v>
      </c>
      <c r="J87" s="2">
        <v>4409.4399999999996</v>
      </c>
      <c r="K87" s="2">
        <v>4</v>
      </c>
      <c r="L87" s="2">
        <v>0.05</v>
      </c>
      <c r="M87" s="2">
        <v>3287.89</v>
      </c>
      <c r="N87" s="2">
        <v>1121.55</v>
      </c>
      <c r="O87" s="5">
        <f t="shared" si="1"/>
        <v>1102.3599999999999</v>
      </c>
    </row>
    <row r="88" spans="1:15" x14ac:dyDescent="0.3">
      <c r="A88" s="4" t="s">
        <v>134</v>
      </c>
      <c r="B88" s="3">
        <v>45601</v>
      </c>
      <c r="C88" s="2">
        <v>2024</v>
      </c>
      <c r="D88" s="2" t="s">
        <v>62</v>
      </c>
      <c r="E88" s="2" t="s">
        <v>16</v>
      </c>
      <c r="F88" s="2" t="s">
        <v>34</v>
      </c>
      <c r="G88" s="2" t="s">
        <v>18</v>
      </c>
      <c r="H88" s="2" t="s">
        <v>52</v>
      </c>
      <c r="I88" s="2" t="s">
        <v>20</v>
      </c>
      <c r="J88" s="2">
        <v>12351.61</v>
      </c>
      <c r="K88" s="2">
        <v>11</v>
      </c>
      <c r="L88" s="2">
        <v>0.22</v>
      </c>
      <c r="M88" s="2">
        <v>8639.69</v>
      </c>
      <c r="N88" s="2">
        <v>3711.92</v>
      </c>
      <c r="O88" s="5">
        <f t="shared" si="1"/>
        <v>1122.8736363636365</v>
      </c>
    </row>
    <row r="89" spans="1:15" x14ac:dyDescent="0.3">
      <c r="A89" s="4" t="s">
        <v>135</v>
      </c>
      <c r="B89" s="3">
        <v>45607</v>
      </c>
      <c r="C89" s="2">
        <v>2024</v>
      </c>
      <c r="D89" s="2" t="s">
        <v>62</v>
      </c>
      <c r="E89" s="2" t="s">
        <v>49</v>
      </c>
      <c r="F89" s="2" t="s">
        <v>34</v>
      </c>
      <c r="G89" s="2" t="s">
        <v>29</v>
      </c>
      <c r="H89" s="2" t="s">
        <v>19</v>
      </c>
      <c r="I89" s="2" t="s">
        <v>20</v>
      </c>
      <c r="J89" s="2">
        <v>29847.06</v>
      </c>
      <c r="K89" s="2">
        <v>5</v>
      </c>
      <c r="L89" s="2">
        <v>0.08</v>
      </c>
      <c r="M89" s="2">
        <v>24314.77</v>
      </c>
      <c r="N89" s="2">
        <v>5532.29</v>
      </c>
      <c r="O89" s="5">
        <f t="shared" si="1"/>
        <v>5969.4120000000003</v>
      </c>
    </row>
    <row r="90" spans="1:15" x14ac:dyDescent="0.3">
      <c r="A90" s="4" t="s">
        <v>136</v>
      </c>
      <c r="B90" s="3">
        <v>45327</v>
      </c>
      <c r="C90" s="2">
        <v>2024</v>
      </c>
      <c r="D90" s="2" t="s">
        <v>51</v>
      </c>
      <c r="E90" s="2" t="s">
        <v>28</v>
      </c>
      <c r="F90" s="2" t="s">
        <v>34</v>
      </c>
      <c r="G90" s="2" t="s">
        <v>29</v>
      </c>
      <c r="H90" s="2" t="s">
        <v>30</v>
      </c>
      <c r="I90" s="2" t="s">
        <v>25</v>
      </c>
      <c r="J90" s="2">
        <v>17327.560000000001</v>
      </c>
      <c r="K90" s="2">
        <v>8</v>
      </c>
      <c r="L90" s="2">
        <v>0.09</v>
      </c>
      <c r="M90" s="2">
        <v>13911.01</v>
      </c>
      <c r="N90" s="2">
        <v>3416.55</v>
      </c>
      <c r="O90" s="5">
        <f t="shared" si="1"/>
        <v>2165.9450000000002</v>
      </c>
    </row>
    <row r="91" spans="1:15" x14ac:dyDescent="0.3">
      <c r="A91" s="4" t="s">
        <v>137</v>
      </c>
      <c r="B91" s="3">
        <v>45596</v>
      </c>
      <c r="C91" s="2">
        <v>2024</v>
      </c>
      <c r="D91" s="2" t="s">
        <v>67</v>
      </c>
      <c r="E91" s="2" t="s">
        <v>16</v>
      </c>
      <c r="F91" s="2" t="s">
        <v>38</v>
      </c>
      <c r="G91" s="2" t="s">
        <v>29</v>
      </c>
      <c r="H91" s="2" t="s">
        <v>58</v>
      </c>
      <c r="I91" s="2" t="s">
        <v>20</v>
      </c>
      <c r="J91" s="2">
        <v>32273.13</v>
      </c>
      <c r="K91" s="2">
        <v>10</v>
      </c>
      <c r="L91" s="2">
        <v>0.1</v>
      </c>
      <c r="M91" s="2">
        <v>22399.82</v>
      </c>
      <c r="N91" s="2">
        <v>9873.31</v>
      </c>
      <c r="O91" s="5">
        <f t="shared" si="1"/>
        <v>3227.3130000000001</v>
      </c>
    </row>
    <row r="92" spans="1:15" x14ac:dyDescent="0.3">
      <c r="A92" s="4" t="s">
        <v>138</v>
      </c>
      <c r="B92" s="3">
        <v>45552</v>
      </c>
      <c r="C92" s="2">
        <v>2024</v>
      </c>
      <c r="D92" s="2" t="s">
        <v>64</v>
      </c>
      <c r="E92" s="2" t="s">
        <v>28</v>
      </c>
      <c r="F92" s="2" t="s">
        <v>43</v>
      </c>
      <c r="G92" s="2" t="s">
        <v>18</v>
      </c>
      <c r="H92" s="2" t="s">
        <v>39</v>
      </c>
      <c r="I92" s="2" t="s">
        <v>56</v>
      </c>
      <c r="J92" s="2">
        <v>9259.2199999999993</v>
      </c>
      <c r="K92" s="2">
        <v>9</v>
      </c>
      <c r="L92" s="2">
        <v>0.2</v>
      </c>
      <c r="M92" s="2">
        <v>7330.44</v>
      </c>
      <c r="N92" s="2">
        <v>1928.78</v>
      </c>
      <c r="O92" s="5">
        <f t="shared" si="1"/>
        <v>1028.8022222222221</v>
      </c>
    </row>
    <row r="93" spans="1:15" x14ac:dyDescent="0.3">
      <c r="A93" s="4" t="s">
        <v>139</v>
      </c>
      <c r="B93" s="3">
        <v>45591</v>
      </c>
      <c r="C93" s="2">
        <v>2024</v>
      </c>
      <c r="D93" s="2" t="s">
        <v>67</v>
      </c>
      <c r="E93" s="2" t="s">
        <v>42</v>
      </c>
      <c r="F93" s="2" t="s">
        <v>43</v>
      </c>
      <c r="G93" s="2" t="s">
        <v>29</v>
      </c>
      <c r="H93" s="2" t="s">
        <v>19</v>
      </c>
      <c r="I93" s="2" t="s">
        <v>25</v>
      </c>
      <c r="J93" s="2">
        <v>33090.85</v>
      </c>
      <c r="K93" s="2">
        <v>1</v>
      </c>
      <c r="L93" s="2">
        <v>0.13</v>
      </c>
      <c r="M93" s="2">
        <v>26043.93</v>
      </c>
      <c r="N93" s="2">
        <v>7046.92</v>
      </c>
      <c r="O93" s="5">
        <f t="shared" si="1"/>
        <v>33090.85</v>
      </c>
    </row>
    <row r="94" spans="1:15" x14ac:dyDescent="0.3">
      <c r="A94" s="4" t="s">
        <v>140</v>
      </c>
      <c r="B94" s="3">
        <v>45542</v>
      </c>
      <c r="C94" s="2">
        <v>2024</v>
      </c>
      <c r="D94" s="2" t="s">
        <v>64</v>
      </c>
      <c r="E94" s="2" t="s">
        <v>23</v>
      </c>
      <c r="F94" s="2" t="s">
        <v>17</v>
      </c>
      <c r="G94" s="2" t="s">
        <v>35</v>
      </c>
      <c r="H94" s="2" t="s">
        <v>47</v>
      </c>
      <c r="I94" s="2" t="s">
        <v>25</v>
      </c>
      <c r="J94" s="2">
        <v>34516.370000000003</v>
      </c>
      <c r="K94" s="2">
        <v>10</v>
      </c>
      <c r="L94" s="2">
        <v>0.18</v>
      </c>
      <c r="M94" s="2">
        <v>25759.09</v>
      </c>
      <c r="N94" s="2">
        <v>8757.2800000000007</v>
      </c>
      <c r="O94" s="5">
        <f t="shared" si="1"/>
        <v>3451.6370000000002</v>
      </c>
    </row>
    <row r="95" spans="1:15" x14ac:dyDescent="0.3">
      <c r="A95" s="4" t="s">
        <v>141</v>
      </c>
      <c r="B95" s="3">
        <v>45346</v>
      </c>
      <c r="C95" s="2">
        <v>2024</v>
      </c>
      <c r="D95" s="2" t="s">
        <v>51</v>
      </c>
      <c r="E95" s="2" t="s">
        <v>49</v>
      </c>
      <c r="F95" s="2" t="s">
        <v>38</v>
      </c>
      <c r="G95" s="2" t="s">
        <v>18</v>
      </c>
      <c r="H95" s="2" t="s">
        <v>52</v>
      </c>
      <c r="I95" s="2" t="s">
        <v>20</v>
      </c>
      <c r="J95" s="2">
        <v>29110.13</v>
      </c>
      <c r="K95" s="2">
        <v>3</v>
      </c>
      <c r="L95" s="2">
        <v>0.19</v>
      </c>
      <c r="M95" s="2">
        <v>17239.07</v>
      </c>
      <c r="N95" s="2">
        <v>11871.06</v>
      </c>
      <c r="O95" s="5">
        <f t="shared" si="1"/>
        <v>9703.376666666667</v>
      </c>
    </row>
    <row r="96" spans="1:15" x14ac:dyDescent="0.3">
      <c r="A96" s="4" t="s">
        <v>142</v>
      </c>
      <c r="B96" s="3">
        <v>45335</v>
      </c>
      <c r="C96" s="2">
        <v>2024</v>
      </c>
      <c r="D96" s="2" t="s">
        <v>51</v>
      </c>
      <c r="E96" s="2" t="s">
        <v>49</v>
      </c>
      <c r="F96" s="2" t="s">
        <v>43</v>
      </c>
      <c r="G96" s="2" t="s">
        <v>35</v>
      </c>
      <c r="H96" s="2" t="s">
        <v>30</v>
      </c>
      <c r="I96" s="2" t="s">
        <v>56</v>
      </c>
      <c r="J96" s="2">
        <v>8797.35</v>
      </c>
      <c r="K96" s="2">
        <v>2</v>
      </c>
      <c r="L96" s="2">
        <v>0.08</v>
      </c>
      <c r="M96" s="2">
        <v>5457.25</v>
      </c>
      <c r="N96" s="2">
        <v>3340.1</v>
      </c>
      <c r="O96" s="5">
        <f t="shared" si="1"/>
        <v>4398.6750000000002</v>
      </c>
    </row>
    <row r="97" spans="1:15" x14ac:dyDescent="0.3">
      <c r="A97" s="4" t="s">
        <v>143</v>
      </c>
      <c r="B97" s="3">
        <v>45507</v>
      </c>
      <c r="C97" s="2">
        <v>2024</v>
      </c>
      <c r="D97" s="2" t="s">
        <v>54</v>
      </c>
      <c r="E97" s="2" t="s">
        <v>28</v>
      </c>
      <c r="F97" s="2" t="s">
        <v>43</v>
      </c>
      <c r="G97" s="2" t="s">
        <v>18</v>
      </c>
      <c r="H97" s="2" t="s">
        <v>58</v>
      </c>
      <c r="I97" s="2" t="s">
        <v>56</v>
      </c>
      <c r="J97" s="2">
        <v>9537.34</v>
      </c>
      <c r="K97" s="2">
        <v>2</v>
      </c>
      <c r="L97" s="2">
        <v>0.05</v>
      </c>
      <c r="M97" s="2">
        <v>6044.3</v>
      </c>
      <c r="N97" s="2">
        <v>3493.04</v>
      </c>
      <c r="O97" s="5">
        <f t="shared" si="1"/>
        <v>4768.67</v>
      </c>
    </row>
    <row r="98" spans="1:15" x14ac:dyDescent="0.3">
      <c r="A98" s="4" t="s">
        <v>144</v>
      </c>
      <c r="B98" s="3">
        <v>45331</v>
      </c>
      <c r="C98" s="2">
        <v>2024</v>
      </c>
      <c r="D98" s="2" t="s">
        <v>51</v>
      </c>
      <c r="E98" s="2" t="s">
        <v>16</v>
      </c>
      <c r="F98" s="2" t="s">
        <v>24</v>
      </c>
      <c r="G98" s="2" t="s">
        <v>18</v>
      </c>
      <c r="H98" s="2" t="s">
        <v>58</v>
      </c>
      <c r="I98" s="2" t="s">
        <v>25</v>
      </c>
      <c r="J98" s="2">
        <v>3320.34</v>
      </c>
      <c r="K98" s="2">
        <v>11</v>
      </c>
      <c r="L98" s="2">
        <v>0.12</v>
      </c>
      <c r="M98" s="2">
        <v>2748.49</v>
      </c>
      <c r="N98" s="2">
        <v>571.85</v>
      </c>
      <c r="O98" s="5">
        <f t="shared" si="1"/>
        <v>301.84909090909093</v>
      </c>
    </row>
    <row r="99" spans="1:15" x14ac:dyDescent="0.3">
      <c r="A99" s="4" t="s">
        <v>145</v>
      </c>
      <c r="B99" s="3">
        <v>45423</v>
      </c>
      <c r="C99" s="2">
        <v>2024</v>
      </c>
      <c r="D99" s="2" t="s">
        <v>83</v>
      </c>
      <c r="E99" s="2" t="s">
        <v>49</v>
      </c>
      <c r="F99" s="2" t="s">
        <v>34</v>
      </c>
      <c r="G99" s="2" t="s">
        <v>18</v>
      </c>
      <c r="H99" s="2" t="s">
        <v>30</v>
      </c>
      <c r="I99" s="2" t="s">
        <v>20</v>
      </c>
      <c r="J99" s="2">
        <v>2811.01</v>
      </c>
      <c r="K99" s="2">
        <v>10</v>
      </c>
      <c r="L99" s="2">
        <v>0.14000000000000001</v>
      </c>
      <c r="M99" s="2">
        <v>2236.52</v>
      </c>
      <c r="N99" s="2">
        <v>574.49</v>
      </c>
      <c r="O99" s="5">
        <f t="shared" si="1"/>
        <v>281.101</v>
      </c>
    </row>
    <row r="100" spans="1:15" x14ac:dyDescent="0.3">
      <c r="A100" s="4" t="s">
        <v>146</v>
      </c>
      <c r="B100" s="3">
        <v>45627</v>
      </c>
      <c r="C100" s="2">
        <v>2024</v>
      </c>
      <c r="D100" s="2" t="s">
        <v>41</v>
      </c>
      <c r="E100" s="2" t="s">
        <v>49</v>
      </c>
      <c r="F100" s="2" t="s">
        <v>24</v>
      </c>
      <c r="G100" s="2" t="s">
        <v>18</v>
      </c>
      <c r="H100" s="2" t="s">
        <v>19</v>
      </c>
      <c r="I100" s="2" t="s">
        <v>56</v>
      </c>
      <c r="J100" s="2">
        <v>29771.53</v>
      </c>
      <c r="K100" s="2">
        <v>11</v>
      </c>
      <c r="L100" s="2">
        <v>0.01</v>
      </c>
      <c r="M100" s="2">
        <v>22494.94</v>
      </c>
      <c r="N100" s="2">
        <v>7276.59</v>
      </c>
      <c r="O100" s="5">
        <f t="shared" si="1"/>
        <v>2706.502727272727</v>
      </c>
    </row>
    <row r="101" spans="1:15" x14ac:dyDescent="0.3">
      <c r="A101" s="4" t="s">
        <v>147</v>
      </c>
      <c r="B101" s="3">
        <v>45577</v>
      </c>
      <c r="C101" s="2">
        <v>2024</v>
      </c>
      <c r="D101" s="2" t="s">
        <v>67</v>
      </c>
      <c r="E101" s="2" t="s">
        <v>23</v>
      </c>
      <c r="F101" s="2" t="s">
        <v>34</v>
      </c>
      <c r="G101" s="2" t="s">
        <v>29</v>
      </c>
      <c r="H101" s="2" t="s">
        <v>30</v>
      </c>
      <c r="I101" s="2" t="s">
        <v>56</v>
      </c>
      <c r="J101" s="2">
        <v>20067.45</v>
      </c>
      <c r="K101" s="2">
        <v>3</v>
      </c>
      <c r="L101" s="2">
        <v>0.02</v>
      </c>
      <c r="M101" s="2">
        <v>13974.28</v>
      </c>
      <c r="N101" s="2">
        <v>6093.17</v>
      </c>
      <c r="O101" s="5">
        <f t="shared" si="1"/>
        <v>6689.1500000000005</v>
      </c>
    </row>
    <row r="102" spans="1:15" x14ac:dyDescent="0.3">
      <c r="A102" s="4" t="s">
        <v>148</v>
      </c>
      <c r="B102" s="3">
        <v>45428</v>
      </c>
      <c r="C102" s="2">
        <v>2024</v>
      </c>
      <c r="D102" s="2" t="s">
        <v>83</v>
      </c>
      <c r="E102" s="2" t="s">
        <v>49</v>
      </c>
      <c r="F102" s="2" t="s">
        <v>17</v>
      </c>
      <c r="G102" s="2" t="s">
        <v>35</v>
      </c>
      <c r="H102" s="2" t="s">
        <v>19</v>
      </c>
      <c r="I102" s="2" t="s">
        <v>56</v>
      </c>
      <c r="J102" s="2">
        <v>30651.24</v>
      </c>
      <c r="K102" s="2">
        <v>8</v>
      </c>
      <c r="L102" s="2">
        <v>0.17</v>
      </c>
      <c r="M102" s="2">
        <v>21765.95</v>
      </c>
      <c r="N102" s="2">
        <v>8885.2900000000009</v>
      </c>
      <c r="O102" s="5">
        <f t="shared" si="1"/>
        <v>3831.4050000000002</v>
      </c>
    </row>
    <row r="103" spans="1:15" x14ac:dyDescent="0.3">
      <c r="A103" s="4" t="s">
        <v>149</v>
      </c>
      <c r="B103" s="3">
        <v>45346</v>
      </c>
      <c r="C103" s="2">
        <v>2024</v>
      </c>
      <c r="D103" s="2" t="s">
        <v>51</v>
      </c>
      <c r="E103" s="2" t="s">
        <v>42</v>
      </c>
      <c r="F103" s="2" t="s">
        <v>17</v>
      </c>
      <c r="G103" s="2" t="s">
        <v>29</v>
      </c>
      <c r="H103" s="2" t="s">
        <v>19</v>
      </c>
      <c r="I103" s="2" t="s">
        <v>20</v>
      </c>
      <c r="J103" s="2">
        <v>11883.65</v>
      </c>
      <c r="K103" s="2">
        <v>3</v>
      </c>
      <c r="L103" s="2">
        <v>0.24</v>
      </c>
      <c r="M103" s="2">
        <v>6733.55</v>
      </c>
      <c r="N103" s="2">
        <v>5150.1000000000004</v>
      </c>
      <c r="O103" s="5">
        <f t="shared" si="1"/>
        <v>3961.2166666666667</v>
      </c>
    </row>
    <row r="104" spans="1:15" x14ac:dyDescent="0.3">
      <c r="A104" s="4" t="s">
        <v>150</v>
      </c>
      <c r="B104" s="3">
        <v>45458</v>
      </c>
      <c r="C104" s="2">
        <v>2024</v>
      </c>
      <c r="D104" s="2" t="s">
        <v>15</v>
      </c>
      <c r="E104" s="2" t="s">
        <v>42</v>
      </c>
      <c r="F104" s="2" t="s">
        <v>17</v>
      </c>
      <c r="G104" s="2" t="s">
        <v>29</v>
      </c>
      <c r="H104" s="2" t="s">
        <v>58</v>
      </c>
      <c r="I104" s="2" t="s">
        <v>25</v>
      </c>
      <c r="J104" s="2">
        <v>14334.46</v>
      </c>
      <c r="K104" s="2">
        <v>1</v>
      </c>
      <c r="L104" s="2">
        <v>0.23</v>
      </c>
      <c r="M104" s="2">
        <v>10207.64</v>
      </c>
      <c r="N104" s="2">
        <v>4126.82</v>
      </c>
      <c r="O104" s="5">
        <f t="shared" si="1"/>
        <v>14334.46</v>
      </c>
    </row>
    <row r="105" spans="1:15" x14ac:dyDescent="0.3">
      <c r="A105" s="4" t="s">
        <v>151</v>
      </c>
      <c r="B105" s="3">
        <v>45490</v>
      </c>
      <c r="C105" s="2">
        <v>2024</v>
      </c>
      <c r="D105" s="2" t="s">
        <v>22</v>
      </c>
      <c r="E105" s="2" t="s">
        <v>16</v>
      </c>
      <c r="F105" s="2" t="s">
        <v>34</v>
      </c>
      <c r="G105" s="2" t="s">
        <v>35</v>
      </c>
      <c r="H105" s="2" t="s">
        <v>47</v>
      </c>
      <c r="I105" s="2" t="s">
        <v>20</v>
      </c>
      <c r="J105" s="2">
        <v>35872.379999999997</v>
      </c>
      <c r="K105" s="2">
        <v>7</v>
      </c>
      <c r="L105" s="2">
        <v>7.0000000000000007E-2</v>
      </c>
      <c r="M105" s="2">
        <v>20610.95</v>
      </c>
      <c r="N105" s="2">
        <v>15261.43</v>
      </c>
      <c r="O105" s="5">
        <f t="shared" si="1"/>
        <v>5124.6257142857139</v>
      </c>
    </row>
    <row r="106" spans="1:15" x14ac:dyDescent="0.3">
      <c r="A106" s="4" t="s">
        <v>152</v>
      </c>
      <c r="B106" s="3">
        <v>45441</v>
      </c>
      <c r="C106" s="2">
        <v>2024</v>
      </c>
      <c r="D106" s="2" t="s">
        <v>83</v>
      </c>
      <c r="E106" s="2" t="s">
        <v>28</v>
      </c>
      <c r="F106" s="2" t="s">
        <v>43</v>
      </c>
      <c r="G106" s="2" t="s">
        <v>18</v>
      </c>
      <c r="H106" s="2" t="s">
        <v>30</v>
      </c>
      <c r="I106" s="2" t="s">
        <v>25</v>
      </c>
      <c r="J106" s="2">
        <v>39897.43</v>
      </c>
      <c r="K106" s="2">
        <v>11</v>
      </c>
      <c r="L106" s="2">
        <v>0.21</v>
      </c>
      <c r="M106" s="2">
        <v>28479.01</v>
      </c>
      <c r="N106" s="2">
        <v>11418.42</v>
      </c>
      <c r="O106" s="5">
        <f t="shared" si="1"/>
        <v>3627.0390909090911</v>
      </c>
    </row>
    <row r="107" spans="1:15" x14ac:dyDescent="0.3">
      <c r="A107" s="4" t="s">
        <v>153</v>
      </c>
      <c r="B107" s="3">
        <v>45336</v>
      </c>
      <c r="C107" s="2">
        <v>2024</v>
      </c>
      <c r="D107" s="2" t="s">
        <v>51</v>
      </c>
      <c r="E107" s="2" t="s">
        <v>23</v>
      </c>
      <c r="F107" s="2" t="s">
        <v>38</v>
      </c>
      <c r="G107" s="2" t="s">
        <v>29</v>
      </c>
      <c r="H107" s="2" t="s">
        <v>39</v>
      </c>
      <c r="I107" s="2" t="s">
        <v>20</v>
      </c>
      <c r="J107" s="2">
        <v>4788.83</v>
      </c>
      <c r="K107" s="2">
        <v>3</v>
      </c>
      <c r="L107" s="2">
        <v>0.15</v>
      </c>
      <c r="M107" s="2">
        <v>3311.5</v>
      </c>
      <c r="N107" s="2">
        <v>1477.33</v>
      </c>
      <c r="O107" s="5">
        <f t="shared" si="1"/>
        <v>1596.2766666666666</v>
      </c>
    </row>
    <row r="108" spans="1:15" x14ac:dyDescent="0.3">
      <c r="A108" s="4" t="s">
        <v>154</v>
      </c>
      <c r="B108" s="3">
        <v>45427</v>
      </c>
      <c r="C108" s="2">
        <v>2024</v>
      </c>
      <c r="D108" s="2" t="s">
        <v>83</v>
      </c>
      <c r="E108" s="2" t="s">
        <v>23</v>
      </c>
      <c r="F108" s="2" t="s">
        <v>43</v>
      </c>
      <c r="G108" s="2" t="s">
        <v>29</v>
      </c>
      <c r="H108" s="2" t="s">
        <v>47</v>
      </c>
      <c r="I108" s="2" t="s">
        <v>25</v>
      </c>
      <c r="J108" s="2">
        <v>31346.68</v>
      </c>
      <c r="K108" s="2">
        <v>1</v>
      </c>
      <c r="L108" s="2">
        <v>0.17</v>
      </c>
      <c r="M108" s="2">
        <v>23333.42</v>
      </c>
      <c r="N108" s="2">
        <v>8013.26</v>
      </c>
      <c r="O108" s="5">
        <f t="shared" si="1"/>
        <v>31346.68</v>
      </c>
    </row>
    <row r="109" spans="1:15" x14ac:dyDescent="0.3">
      <c r="A109" s="4" t="s">
        <v>155</v>
      </c>
      <c r="B109" s="3">
        <v>45501</v>
      </c>
      <c r="C109" s="2">
        <v>2024</v>
      </c>
      <c r="D109" s="2" t="s">
        <v>22</v>
      </c>
      <c r="E109" s="2" t="s">
        <v>49</v>
      </c>
      <c r="F109" s="2" t="s">
        <v>38</v>
      </c>
      <c r="G109" s="2" t="s">
        <v>35</v>
      </c>
      <c r="H109" s="2" t="s">
        <v>58</v>
      </c>
      <c r="I109" s="2" t="s">
        <v>20</v>
      </c>
      <c r="J109" s="2">
        <v>22601.02</v>
      </c>
      <c r="K109" s="2">
        <v>7</v>
      </c>
      <c r="L109" s="2">
        <v>0.21</v>
      </c>
      <c r="M109" s="2">
        <v>13583.32</v>
      </c>
      <c r="N109" s="2">
        <v>9017.7000000000007</v>
      </c>
      <c r="O109" s="5">
        <f t="shared" si="1"/>
        <v>3228.7171428571428</v>
      </c>
    </row>
    <row r="110" spans="1:15" x14ac:dyDescent="0.3">
      <c r="A110" s="4" t="s">
        <v>156</v>
      </c>
      <c r="B110" s="3">
        <v>45489</v>
      </c>
      <c r="C110" s="2">
        <v>2024</v>
      </c>
      <c r="D110" s="2" t="s">
        <v>22</v>
      </c>
      <c r="E110" s="2" t="s">
        <v>49</v>
      </c>
      <c r="F110" s="2" t="s">
        <v>43</v>
      </c>
      <c r="G110" s="2" t="s">
        <v>18</v>
      </c>
      <c r="H110" s="2" t="s">
        <v>58</v>
      </c>
      <c r="I110" s="2" t="s">
        <v>56</v>
      </c>
      <c r="J110" s="2">
        <v>978.31</v>
      </c>
      <c r="K110" s="2">
        <v>1</v>
      </c>
      <c r="L110" s="2">
        <v>0.1</v>
      </c>
      <c r="M110" s="2">
        <v>591.79999999999995</v>
      </c>
      <c r="N110" s="2">
        <v>386.51</v>
      </c>
      <c r="O110" s="5">
        <f t="shared" si="1"/>
        <v>978.31</v>
      </c>
    </row>
    <row r="111" spans="1:15" x14ac:dyDescent="0.3">
      <c r="A111" s="4" t="s">
        <v>157</v>
      </c>
      <c r="B111" s="3">
        <v>45392</v>
      </c>
      <c r="C111" s="2">
        <v>2024</v>
      </c>
      <c r="D111" s="2" t="s">
        <v>37</v>
      </c>
      <c r="E111" s="2" t="s">
        <v>42</v>
      </c>
      <c r="F111" s="2" t="s">
        <v>34</v>
      </c>
      <c r="G111" s="2" t="s">
        <v>35</v>
      </c>
      <c r="H111" s="2" t="s">
        <v>39</v>
      </c>
      <c r="I111" s="2" t="s">
        <v>25</v>
      </c>
      <c r="J111" s="2">
        <v>24968.77</v>
      </c>
      <c r="K111" s="2">
        <v>9</v>
      </c>
      <c r="L111" s="2">
        <v>0.21</v>
      </c>
      <c r="M111" s="2">
        <v>13943.8</v>
      </c>
      <c r="N111" s="2">
        <v>11024.97</v>
      </c>
      <c r="O111" s="5">
        <f t="shared" si="1"/>
        <v>2774.307777777778</v>
      </c>
    </row>
    <row r="112" spans="1:15" x14ac:dyDescent="0.3">
      <c r="A112" s="4" t="s">
        <v>158</v>
      </c>
      <c r="B112" s="3">
        <v>45472</v>
      </c>
      <c r="C112" s="2">
        <v>2024</v>
      </c>
      <c r="D112" s="2" t="s">
        <v>15</v>
      </c>
      <c r="E112" s="2" t="s">
        <v>23</v>
      </c>
      <c r="F112" s="2" t="s">
        <v>17</v>
      </c>
      <c r="G112" s="2" t="s">
        <v>29</v>
      </c>
      <c r="H112" s="2" t="s">
        <v>52</v>
      </c>
      <c r="I112" s="2" t="s">
        <v>56</v>
      </c>
      <c r="J112" s="2">
        <v>11773.18</v>
      </c>
      <c r="K112" s="2">
        <v>3</v>
      </c>
      <c r="L112" s="2">
        <v>0.2</v>
      </c>
      <c r="M112" s="2">
        <v>9982.1200000000008</v>
      </c>
      <c r="N112" s="2">
        <v>1791.06</v>
      </c>
      <c r="O112" s="5">
        <f t="shared" si="1"/>
        <v>3924.3933333333334</v>
      </c>
    </row>
    <row r="113" spans="1:15" x14ac:dyDescent="0.3">
      <c r="A113" s="4" t="s">
        <v>159</v>
      </c>
      <c r="B113" s="3">
        <v>45461</v>
      </c>
      <c r="C113" s="2">
        <v>2024</v>
      </c>
      <c r="D113" s="2" t="s">
        <v>15</v>
      </c>
      <c r="E113" s="2" t="s">
        <v>16</v>
      </c>
      <c r="F113" s="2" t="s">
        <v>34</v>
      </c>
      <c r="G113" s="2" t="s">
        <v>29</v>
      </c>
      <c r="H113" s="2" t="s">
        <v>47</v>
      </c>
      <c r="I113" s="2" t="s">
        <v>20</v>
      </c>
      <c r="J113" s="2">
        <v>14542.07</v>
      </c>
      <c r="K113" s="2">
        <v>1</v>
      </c>
      <c r="L113" s="2">
        <v>0.03</v>
      </c>
      <c r="M113" s="2">
        <v>10678.86</v>
      </c>
      <c r="N113" s="2">
        <v>3863.21</v>
      </c>
      <c r="O113" s="5">
        <f t="shared" si="1"/>
        <v>14542.07</v>
      </c>
    </row>
    <row r="114" spans="1:15" x14ac:dyDescent="0.3">
      <c r="A114" s="4" t="s">
        <v>160</v>
      </c>
      <c r="B114" s="3">
        <v>45321</v>
      </c>
      <c r="C114" s="2">
        <v>2024</v>
      </c>
      <c r="D114" s="2" t="s">
        <v>27</v>
      </c>
      <c r="E114" s="2" t="s">
        <v>16</v>
      </c>
      <c r="F114" s="2" t="s">
        <v>24</v>
      </c>
      <c r="G114" s="2" t="s">
        <v>29</v>
      </c>
      <c r="H114" s="2" t="s">
        <v>47</v>
      </c>
      <c r="I114" s="2" t="s">
        <v>56</v>
      </c>
      <c r="J114" s="2">
        <v>38795.730000000003</v>
      </c>
      <c r="K114" s="2">
        <v>1</v>
      </c>
      <c r="L114" s="2">
        <v>0.15</v>
      </c>
      <c r="M114" s="2">
        <v>25016.65</v>
      </c>
      <c r="N114" s="2">
        <v>13779.08</v>
      </c>
      <c r="O114" s="5">
        <f t="shared" si="1"/>
        <v>38795.730000000003</v>
      </c>
    </row>
    <row r="115" spans="1:15" x14ac:dyDescent="0.3">
      <c r="A115" s="4" t="s">
        <v>161</v>
      </c>
      <c r="B115" s="3">
        <v>45574</v>
      </c>
      <c r="C115" s="2">
        <v>2024</v>
      </c>
      <c r="D115" s="2" t="s">
        <v>67</v>
      </c>
      <c r="E115" s="2" t="s">
        <v>16</v>
      </c>
      <c r="F115" s="2" t="s">
        <v>24</v>
      </c>
      <c r="G115" s="2" t="s">
        <v>29</v>
      </c>
      <c r="H115" s="2" t="s">
        <v>39</v>
      </c>
      <c r="I115" s="2" t="s">
        <v>56</v>
      </c>
      <c r="J115" s="2">
        <v>29912.97</v>
      </c>
      <c r="K115" s="2">
        <v>7</v>
      </c>
      <c r="L115" s="2">
        <v>0.11</v>
      </c>
      <c r="M115" s="2">
        <v>20511.25</v>
      </c>
      <c r="N115" s="2">
        <v>9401.7199999999993</v>
      </c>
      <c r="O115" s="5">
        <f t="shared" si="1"/>
        <v>4273.2814285714285</v>
      </c>
    </row>
    <row r="116" spans="1:15" x14ac:dyDescent="0.3">
      <c r="A116" s="4" t="s">
        <v>162</v>
      </c>
      <c r="B116" s="3">
        <v>45612</v>
      </c>
      <c r="C116" s="2">
        <v>2024</v>
      </c>
      <c r="D116" s="2" t="s">
        <v>62</v>
      </c>
      <c r="E116" s="2" t="s">
        <v>28</v>
      </c>
      <c r="F116" s="2" t="s">
        <v>17</v>
      </c>
      <c r="G116" s="2" t="s">
        <v>35</v>
      </c>
      <c r="H116" s="2" t="s">
        <v>52</v>
      </c>
      <c r="I116" s="2" t="s">
        <v>20</v>
      </c>
      <c r="J116" s="2">
        <v>2937.25</v>
      </c>
      <c r="K116" s="2">
        <v>10</v>
      </c>
      <c r="L116" s="2">
        <v>0.21</v>
      </c>
      <c r="M116" s="2">
        <v>1854.85</v>
      </c>
      <c r="N116" s="2">
        <v>1082.4000000000001</v>
      </c>
      <c r="O116" s="5">
        <f t="shared" si="1"/>
        <v>293.72500000000002</v>
      </c>
    </row>
    <row r="117" spans="1:15" x14ac:dyDescent="0.3">
      <c r="A117" s="4" t="s">
        <v>163</v>
      </c>
      <c r="B117" s="3">
        <v>45544</v>
      </c>
      <c r="C117" s="2">
        <v>2024</v>
      </c>
      <c r="D117" s="2" t="s">
        <v>64</v>
      </c>
      <c r="E117" s="2" t="s">
        <v>42</v>
      </c>
      <c r="F117" s="2" t="s">
        <v>38</v>
      </c>
      <c r="G117" s="2" t="s">
        <v>18</v>
      </c>
      <c r="H117" s="2" t="s">
        <v>58</v>
      </c>
      <c r="I117" s="2" t="s">
        <v>25</v>
      </c>
      <c r="J117" s="2">
        <v>27494.25</v>
      </c>
      <c r="K117" s="2">
        <v>1</v>
      </c>
      <c r="L117" s="2">
        <v>7.0000000000000007E-2</v>
      </c>
      <c r="M117" s="2">
        <v>17865.169999999998</v>
      </c>
      <c r="N117" s="2">
        <v>9629.08</v>
      </c>
      <c r="O117" s="5">
        <f t="shared" si="1"/>
        <v>27494.25</v>
      </c>
    </row>
    <row r="118" spans="1:15" x14ac:dyDescent="0.3">
      <c r="A118" s="4" t="s">
        <v>164</v>
      </c>
      <c r="B118" s="3">
        <v>45482</v>
      </c>
      <c r="C118" s="2">
        <v>2024</v>
      </c>
      <c r="D118" s="2" t="s">
        <v>22</v>
      </c>
      <c r="E118" s="2" t="s">
        <v>23</v>
      </c>
      <c r="F118" s="2" t="s">
        <v>24</v>
      </c>
      <c r="G118" s="2" t="s">
        <v>18</v>
      </c>
      <c r="H118" s="2" t="s">
        <v>19</v>
      </c>
      <c r="I118" s="2" t="s">
        <v>20</v>
      </c>
      <c r="J118" s="2">
        <v>1309.43</v>
      </c>
      <c r="K118" s="2">
        <v>4</v>
      </c>
      <c r="L118" s="2">
        <v>0.04</v>
      </c>
      <c r="M118" s="2">
        <v>1086.93</v>
      </c>
      <c r="N118" s="2">
        <v>222.5</v>
      </c>
      <c r="O118" s="5">
        <f t="shared" si="1"/>
        <v>327.35750000000002</v>
      </c>
    </row>
    <row r="119" spans="1:15" x14ac:dyDescent="0.3">
      <c r="A119" s="4" t="s">
        <v>165</v>
      </c>
      <c r="B119" s="3">
        <v>45506</v>
      </c>
      <c r="C119" s="2">
        <v>2024</v>
      </c>
      <c r="D119" s="2" t="s">
        <v>54</v>
      </c>
      <c r="E119" s="2" t="s">
        <v>49</v>
      </c>
      <c r="F119" s="2" t="s">
        <v>38</v>
      </c>
      <c r="G119" s="2" t="s">
        <v>35</v>
      </c>
      <c r="H119" s="2" t="s">
        <v>30</v>
      </c>
      <c r="I119" s="2" t="s">
        <v>20</v>
      </c>
      <c r="J119" s="2">
        <v>35538.800000000003</v>
      </c>
      <c r="K119" s="2">
        <v>6</v>
      </c>
      <c r="L119" s="2">
        <v>0.08</v>
      </c>
      <c r="M119" s="2">
        <v>24972.52</v>
      </c>
      <c r="N119" s="2">
        <v>10566.28</v>
      </c>
      <c r="O119" s="5">
        <f t="shared" si="1"/>
        <v>5923.1333333333341</v>
      </c>
    </row>
    <row r="120" spans="1:15" x14ac:dyDescent="0.3">
      <c r="A120" s="4" t="s">
        <v>166</v>
      </c>
      <c r="B120" s="3">
        <v>45518</v>
      </c>
      <c r="C120" s="2">
        <v>2024</v>
      </c>
      <c r="D120" s="2" t="s">
        <v>54</v>
      </c>
      <c r="E120" s="2" t="s">
        <v>28</v>
      </c>
      <c r="F120" s="2" t="s">
        <v>38</v>
      </c>
      <c r="G120" s="2" t="s">
        <v>18</v>
      </c>
      <c r="H120" s="2" t="s">
        <v>47</v>
      </c>
      <c r="I120" s="2" t="s">
        <v>20</v>
      </c>
      <c r="J120" s="2">
        <v>24189.95</v>
      </c>
      <c r="K120" s="2">
        <v>8</v>
      </c>
      <c r="L120" s="2">
        <v>0.24</v>
      </c>
      <c r="M120" s="2">
        <v>16674.18</v>
      </c>
      <c r="N120" s="2">
        <v>7515.77</v>
      </c>
      <c r="O120" s="5">
        <f t="shared" si="1"/>
        <v>3023.7437500000001</v>
      </c>
    </row>
    <row r="121" spans="1:15" x14ac:dyDescent="0.3">
      <c r="A121" s="4" t="s">
        <v>167</v>
      </c>
      <c r="B121" s="3">
        <v>45304</v>
      </c>
      <c r="C121" s="2">
        <v>2024</v>
      </c>
      <c r="D121" s="2" t="s">
        <v>27</v>
      </c>
      <c r="E121" s="2" t="s">
        <v>16</v>
      </c>
      <c r="F121" s="2" t="s">
        <v>38</v>
      </c>
      <c r="G121" s="2" t="s">
        <v>18</v>
      </c>
      <c r="H121" s="2" t="s">
        <v>52</v>
      </c>
      <c r="I121" s="2" t="s">
        <v>20</v>
      </c>
      <c r="J121" s="2">
        <v>25528.2</v>
      </c>
      <c r="K121" s="2">
        <v>7</v>
      </c>
      <c r="L121" s="2">
        <v>0.03</v>
      </c>
      <c r="M121" s="2">
        <v>16247.13</v>
      </c>
      <c r="N121" s="2">
        <v>9281.07</v>
      </c>
      <c r="O121" s="5">
        <f t="shared" si="1"/>
        <v>3646.8857142857146</v>
      </c>
    </row>
    <row r="122" spans="1:15" x14ac:dyDescent="0.3">
      <c r="A122" s="4" t="s">
        <v>168</v>
      </c>
      <c r="B122" s="3">
        <v>45426</v>
      </c>
      <c r="C122" s="2">
        <v>2024</v>
      </c>
      <c r="D122" s="2" t="s">
        <v>83</v>
      </c>
      <c r="E122" s="2" t="s">
        <v>23</v>
      </c>
      <c r="F122" s="2" t="s">
        <v>24</v>
      </c>
      <c r="G122" s="2" t="s">
        <v>29</v>
      </c>
      <c r="H122" s="2" t="s">
        <v>30</v>
      </c>
      <c r="I122" s="2" t="s">
        <v>20</v>
      </c>
      <c r="J122" s="2">
        <v>1444.79</v>
      </c>
      <c r="K122" s="2">
        <v>11</v>
      </c>
      <c r="L122" s="2">
        <v>0.2</v>
      </c>
      <c r="M122" s="2">
        <v>1077.07</v>
      </c>
      <c r="N122" s="2">
        <v>367.72</v>
      </c>
      <c r="O122" s="5">
        <f t="shared" si="1"/>
        <v>131.34454545454545</v>
      </c>
    </row>
    <row r="123" spans="1:15" x14ac:dyDescent="0.3">
      <c r="A123" s="4" t="s">
        <v>169</v>
      </c>
      <c r="B123" s="3">
        <v>45398</v>
      </c>
      <c r="C123" s="2">
        <v>2024</v>
      </c>
      <c r="D123" s="2" t="s">
        <v>37</v>
      </c>
      <c r="E123" s="2" t="s">
        <v>42</v>
      </c>
      <c r="F123" s="2" t="s">
        <v>38</v>
      </c>
      <c r="G123" s="2" t="s">
        <v>18</v>
      </c>
      <c r="H123" s="2" t="s">
        <v>30</v>
      </c>
      <c r="I123" s="2" t="s">
        <v>20</v>
      </c>
      <c r="J123" s="2">
        <v>4084.41</v>
      </c>
      <c r="K123" s="2">
        <v>7</v>
      </c>
      <c r="L123" s="2">
        <v>0.05</v>
      </c>
      <c r="M123" s="2">
        <v>2661.2</v>
      </c>
      <c r="N123" s="2">
        <v>1423.21</v>
      </c>
      <c r="O123" s="5">
        <f t="shared" si="1"/>
        <v>583.48714285714289</v>
      </c>
    </row>
    <row r="124" spans="1:15" x14ac:dyDescent="0.3">
      <c r="A124" s="4" t="s">
        <v>170</v>
      </c>
      <c r="B124" s="3">
        <v>45402</v>
      </c>
      <c r="C124" s="2">
        <v>2024</v>
      </c>
      <c r="D124" s="2" t="s">
        <v>37</v>
      </c>
      <c r="E124" s="2" t="s">
        <v>49</v>
      </c>
      <c r="F124" s="2" t="s">
        <v>17</v>
      </c>
      <c r="G124" s="2" t="s">
        <v>35</v>
      </c>
      <c r="H124" s="2" t="s">
        <v>58</v>
      </c>
      <c r="I124" s="2" t="s">
        <v>25</v>
      </c>
      <c r="J124" s="2">
        <v>21425.19</v>
      </c>
      <c r="K124" s="2">
        <v>10</v>
      </c>
      <c r="L124" s="2">
        <v>0.05</v>
      </c>
      <c r="M124" s="2">
        <v>12501.28</v>
      </c>
      <c r="N124" s="2">
        <v>8923.91</v>
      </c>
      <c r="O124" s="5">
        <f t="shared" si="1"/>
        <v>2142.5189999999998</v>
      </c>
    </row>
    <row r="125" spans="1:15" x14ac:dyDescent="0.3">
      <c r="A125" s="4" t="s">
        <v>171</v>
      </c>
      <c r="B125" s="3">
        <v>45641</v>
      </c>
      <c r="C125" s="2">
        <v>2024</v>
      </c>
      <c r="D125" s="2" t="s">
        <v>41</v>
      </c>
      <c r="E125" s="2" t="s">
        <v>42</v>
      </c>
      <c r="F125" s="2" t="s">
        <v>24</v>
      </c>
      <c r="G125" s="2" t="s">
        <v>18</v>
      </c>
      <c r="H125" s="2" t="s">
        <v>30</v>
      </c>
      <c r="I125" s="2" t="s">
        <v>20</v>
      </c>
      <c r="J125" s="2">
        <v>15764</v>
      </c>
      <c r="K125" s="2">
        <v>4</v>
      </c>
      <c r="L125" s="2">
        <v>0.22</v>
      </c>
      <c r="M125" s="2">
        <v>9669.64</v>
      </c>
      <c r="N125" s="2">
        <v>6094.36</v>
      </c>
      <c r="O125" s="5">
        <f t="shared" si="1"/>
        <v>3941</v>
      </c>
    </row>
    <row r="126" spans="1:15" x14ac:dyDescent="0.3">
      <c r="A126" s="4" t="s">
        <v>172</v>
      </c>
      <c r="B126" s="3">
        <v>45526</v>
      </c>
      <c r="C126" s="2">
        <v>2024</v>
      </c>
      <c r="D126" s="2" t="s">
        <v>54</v>
      </c>
      <c r="E126" s="2" t="s">
        <v>16</v>
      </c>
      <c r="F126" s="2" t="s">
        <v>34</v>
      </c>
      <c r="G126" s="2" t="s">
        <v>35</v>
      </c>
      <c r="H126" s="2" t="s">
        <v>47</v>
      </c>
      <c r="I126" s="2" t="s">
        <v>25</v>
      </c>
      <c r="J126" s="2">
        <v>32877.18</v>
      </c>
      <c r="K126" s="2">
        <v>7</v>
      </c>
      <c r="L126" s="2">
        <v>0.15</v>
      </c>
      <c r="M126" s="2">
        <v>25926.92</v>
      </c>
      <c r="N126" s="2">
        <v>6950.26</v>
      </c>
      <c r="O126" s="5">
        <f t="shared" si="1"/>
        <v>4696.74</v>
      </c>
    </row>
    <row r="127" spans="1:15" x14ac:dyDescent="0.3">
      <c r="A127" s="4" t="s">
        <v>173</v>
      </c>
      <c r="B127" s="3">
        <v>45309</v>
      </c>
      <c r="C127" s="2">
        <v>2024</v>
      </c>
      <c r="D127" s="2" t="s">
        <v>27</v>
      </c>
      <c r="E127" s="2" t="s">
        <v>42</v>
      </c>
      <c r="F127" s="2" t="s">
        <v>34</v>
      </c>
      <c r="G127" s="2" t="s">
        <v>35</v>
      </c>
      <c r="H127" s="2" t="s">
        <v>30</v>
      </c>
      <c r="I127" s="2" t="s">
        <v>56</v>
      </c>
      <c r="J127" s="2">
        <v>11931.71</v>
      </c>
      <c r="K127" s="2">
        <v>2</v>
      </c>
      <c r="L127" s="2">
        <v>0.05</v>
      </c>
      <c r="M127" s="2">
        <v>8202.1200000000008</v>
      </c>
      <c r="N127" s="2">
        <v>3729.59</v>
      </c>
      <c r="O127" s="5">
        <f t="shared" si="1"/>
        <v>5965.8549999999996</v>
      </c>
    </row>
    <row r="128" spans="1:15" x14ac:dyDescent="0.3">
      <c r="A128" s="4" t="s">
        <v>174</v>
      </c>
      <c r="B128" s="3">
        <v>45297</v>
      </c>
      <c r="C128" s="2">
        <v>2024</v>
      </c>
      <c r="D128" s="2" t="s">
        <v>27</v>
      </c>
      <c r="E128" s="2" t="s">
        <v>49</v>
      </c>
      <c r="F128" s="2" t="s">
        <v>43</v>
      </c>
      <c r="G128" s="2" t="s">
        <v>29</v>
      </c>
      <c r="H128" s="2" t="s">
        <v>58</v>
      </c>
      <c r="I128" s="2" t="s">
        <v>56</v>
      </c>
      <c r="J128" s="2">
        <v>16466.89</v>
      </c>
      <c r="K128" s="2">
        <v>4</v>
      </c>
      <c r="L128" s="2">
        <v>0.05</v>
      </c>
      <c r="M128" s="2">
        <v>13937.26</v>
      </c>
      <c r="N128" s="2">
        <v>2529.63</v>
      </c>
      <c r="O128" s="5">
        <f t="shared" si="1"/>
        <v>4116.7224999999999</v>
      </c>
    </row>
    <row r="129" spans="1:15" x14ac:dyDescent="0.3">
      <c r="A129" s="4" t="s">
        <v>175</v>
      </c>
      <c r="B129" s="3">
        <v>45627</v>
      </c>
      <c r="C129" s="2">
        <v>2024</v>
      </c>
      <c r="D129" s="2" t="s">
        <v>41</v>
      </c>
      <c r="E129" s="2" t="s">
        <v>49</v>
      </c>
      <c r="F129" s="2" t="s">
        <v>24</v>
      </c>
      <c r="G129" s="2" t="s">
        <v>18</v>
      </c>
      <c r="H129" s="2" t="s">
        <v>39</v>
      </c>
      <c r="I129" s="2" t="s">
        <v>56</v>
      </c>
      <c r="J129" s="2">
        <v>5503.95</v>
      </c>
      <c r="K129" s="2">
        <v>10</v>
      </c>
      <c r="L129" s="2">
        <v>0.14000000000000001</v>
      </c>
      <c r="M129" s="2">
        <v>3893.3</v>
      </c>
      <c r="N129" s="2">
        <v>1610.65</v>
      </c>
      <c r="O129" s="5">
        <f t="shared" si="1"/>
        <v>550.39499999999998</v>
      </c>
    </row>
    <row r="130" spans="1:15" x14ac:dyDescent="0.3">
      <c r="A130" s="4" t="s">
        <v>176</v>
      </c>
      <c r="B130" s="3">
        <v>45341</v>
      </c>
      <c r="C130" s="2">
        <v>2024</v>
      </c>
      <c r="D130" s="2" t="s">
        <v>51</v>
      </c>
      <c r="E130" s="2" t="s">
        <v>49</v>
      </c>
      <c r="F130" s="2" t="s">
        <v>24</v>
      </c>
      <c r="G130" s="2" t="s">
        <v>29</v>
      </c>
      <c r="H130" s="2" t="s">
        <v>19</v>
      </c>
      <c r="I130" s="2" t="s">
        <v>56</v>
      </c>
      <c r="J130" s="2">
        <v>20512.54</v>
      </c>
      <c r="K130" s="2">
        <v>7</v>
      </c>
      <c r="L130" s="2">
        <v>7.0000000000000007E-2</v>
      </c>
      <c r="M130" s="2">
        <v>13692.09</v>
      </c>
      <c r="N130" s="2">
        <v>6820.45</v>
      </c>
      <c r="O130" s="5">
        <f t="shared" si="1"/>
        <v>2930.3628571428571</v>
      </c>
    </row>
    <row r="131" spans="1:15" x14ac:dyDescent="0.3">
      <c r="A131" s="4" t="s">
        <v>177</v>
      </c>
      <c r="B131" s="3">
        <v>45624</v>
      </c>
      <c r="C131" s="2">
        <v>2024</v>
      </c>
      <c r="D131" s="2" t="s">
        <v>62</v>
      </c>
      <c r="E131" s="2" t="s">
        <v>23</v>
      </c>
      <c r="F131" s="2" t="s">
        <v>34</v>
      </c>
      <c r="G131" s="2" t="s">
        <v>35</v>
      </c>
      <c r="H131" s="2" t="s">
        <v>52</v>
      </c>
      <c r="I131" s="2" t="s">
        <v>20</v>
      </c>
      <c r="J131" s="2">
        <v>38236.85</v>
      </c>
      <c r="K131" s="2">
        <v>7</v>
      </c>
      <c r="L131" s="2">
        <v>0.11</v>
      </c>
      <c r="M131" s="2">
        <v>25913.8</v>
      </c>
      <c r="N131" s="2">
        <v>12323.05</v>
      </c>
      <c r="O131" s="5">
        <f t="shared" ref="O131:O194" si="2">J131/K131</f>
        <v>5462.4071428571424</v>
      </c>
    </row>
    <row r="132" spans="1:15" x14ac:dyDescent="0.3">
      <c r="A132" s="4" t="s">
        <v>178</v>
      </c>
      <c r="B132" s="3">
        <v>45397</v>
      </c>
      <c r="C132" s="2">
        <v>2024</v>
      </c>
      <c r="D132" s="2" t="s">
        <v>37</v>
      </c>
      <c r="E132" s="2" t="s">
        <v>28</v>
      </c>
      <c r="F132" s="2" t="s">
        <v>38</v>
      </c>
      <c r="G132" s="2" t="s">
        <v>35</v>
      </c>
      <c r="H132" s="2" t="s">
        <v>52</v>
      </c>
      <c r="I132" s="2" t="s">
        <v>25</v>
      </c>
      <c r="J132" s="2">
        <v>11223.16</v>
      </c>
      <c r="K132" s="2">
        <v>7</v>
      </c>
      <c r="L132" s="2">
        <v>0.21</v>
      </c>
      <c r="M132" s="2">
        <v>9450.7999999999993</v>
      </c>
      <c r="N132" s="2">
        <v>1772.36</v>
      </c>
      <c r="O132" s="5">
        <f t="shared" si="2"/>
        <v>1603.3085714285714</v>
      </c>
    </row>
    <row r="133" spans="1:15" x14ac:dyDescent="0.3">
      <c r="A133" s="4" t="s">
        <v>179</v>
      </c>
      <c r="B133" s="3">
        <v>45474</v>
      </c>
      <c r="C133" s="2">
        <v>2024</v>
      </c>
      <c r="D133" s="2" t="s">
        <v>22</v>
      </c>
      <c r="E133" s="2" t="s">
        <v>23</v>
      </c>
      <c r="F133" s="2" t="s">
        <v>34</v>
      </c>
      <c r="G133" s="2" t="s">
        <v>35</v>
      </c>
      <c r="H133" s="2" t="s">
        <v>30</v>
      </c>
      <c r="I133" s="2" t="s">
        <v>56</v>
      </c>
      <c r="J133" s="2">
        <v>31800.6</v>
      </c>
      <c r="K133" s="2">
        <v>7</v>
      </c>
      <c r="L133" s="2">
        <v>0.12</v>
      </c>
      <c r="M133" s="2">
        <v>24936.36</v>
      </c>
      <c r="N133" s="2">
        <v>6864.24</v>
      </c>
      <c r="O133" s="5">
        <f t="shared" si="2"/>
        <v>4542.9428571428571</v>
      </c>
    </row>
    <row r="134" spans="1:15" x14ac:dyDescent="0.3">
      <c r="A134" s="4" t="s">
        <v>180</v>
      </c>
      <c r="B134" s="3">
        <v>45467</v>
      </c>
      <c r="C134" s="2">
        <v>2024</v>
      </c>
      <c r="D134" s="2" t="s">
        <v>15</v>
      </c>
      <c r="E134" s="2" t="s">
        <v>16</v>
      </c>
      <c r="F134" s="2" t="s">
        <v>24</v>
      </c>
      <c r="G134" s="2" t="s">
        <v>29</v>
      </c>
      <c r="H134" s="2" t="s">
        <v>47</v>
      </c>
      <c r="I134" s="2" t="s">
        <v>56</v>
      </c>
      <c r="J134" s="2">
        <v>7227.08</v>
      </c>
      <c r="K134" s="2">
        <v>1</v>
      </c>
      <c r="L134" s="2">
        <v>0.03</v>
      </c>
      <c r="M134" s="2">
        <v>4337.78</v>
      </c>
      <c r="N134" s="2">
        <v>2889.3</v>
      </c>
      <c r="O134" s="5">
        <f t="shared" si="2"/>
        <v>7227.08</v>
      </c>
    </row>
    <row r="135" spans="1:15" x14ac:dyDescent="0.3">
      <c r="A135" s="4" t="s">
        <v>181</v>
      </c>
      <c r="B135" s="3">
        <v>45379</v>
      </c>
      <c r="C135" s="2">
        <v>2024</v>
      </c>
      <c r="D135" s="2" t="s">
        <v>32</v>
      </c>
      <c r="E135" s="2" t="s">
        <v>23</v>
      </c>
      <c r="F135" s="2" t="s">
        <v>17</v>
      </c>
      <c r="G135" s="2" t="s">
        <v>18</v>
      </c>
      <c r="H135" s="2" t="s">
        <v>47</v>
      </c>
      <c r="I135" s="2" t="s">
        <v>56</v>
      </c>
      <c r="J135" s="2">
        <v>35527.4</v>
      </c>
      <c r="K135" s="2">
        <v>7</v>
      </c>
      <c r="L135" s="2">
        <v>0.13</v>
      </c>
      <c r="M135" s="2">
        <v>25271.85</v>
      </c>
      <c r="N135" s="2">
        <v>10255.549999999999</v>
      </c>
      <c r="O135" s="5">
        <f t="shared" si="2"/>
        <v>5075.3428571428576</v>
      </c>
    </row>
    <row r="136" spans="1:15" x14ac:dyDescent="0.3">
      <c r="A136" s="4" t="s">
        <v>182</v>
      </c>
      <c r="B136" s="3">
        <v>45441</v>
      </c>
      <c r="C136" s="2">
        <v>2024</v>
      </c>
      <c r="D136" s="2" t="s">
        <v>83</v>
      </c>
      <c r="E136" s="2" t="s">
        <v>28</v>
      </c>
      <c r="F136" s="2" t="s">
        <v>43</v>
      </c>
      <c r="G136" s="2" t="s">
        <v>29</v>
      </c>
      <c r="H136" s="2" t="s">
        <v>19</v>
      </c>
      <c r="I136" s="2" t="s">
        <v>56</v>
      </c>
      <c r="J136" s="2">
        <v>20895.22</v>
      </c>
      <c r="K136" s="2">
        <v>1</v>
      </c>
      <c r="L136" s="2">
        <v>0.24</v>
      </c>
      <c r="M136" s="2">
        <v>15886.03</v>
      </c>
      <c r="N136" s="2">
        <v>5009.1899999999996</v>
      </c>
      <c r="O136" s="5">
        <f t="shared" si="2"/>
        <v>20895.22</v>
      </c>
    </row>
    <row r="137" spans="1:15" x14ac:dyDescent="0.3">
      <c r="A137" s="4" t="s">
        <v>183</v>
      </c>
      <c r="B137" s="3">
        <v>45552</v>
      </c>
      <c r="C137" s="2">
        <v>2024</v>
      </c>
      <c r="D137" s="2" t="s">
        <v>64</v>
      </c>
      <c r="E137" s="2" t="s">
        <v>42</v>
      </c>
      <c r="F137" s="2" t="s">
        <v>34</v>
      </c>
      <c r="G137" s="2" t="s">
        <v>18</v>
      </c>
      <c r="H137" s="2" t="s">
        <v>47</v>
      </c>
      <c r="I137" s="2" t="s">
        <v>20</v>
      </c>
      <c r="J137" s="2">
        <v>5731.68</v>
      </c>
      <c r="K137" s="2">
        <v>7</v>
      </c>
      <c r="L137" s="2">
        <v>0.2</v>
      </c>
      <c r="M137" s="2">
        <v>4690.6000000000004</v>
      </c>
      <c r="N137" s="2">
        <v>1041.08</v>
      </c>
      <c r="O137" s="5">
        <f t="shared" si="2"/>
        <v>818.81142857142856</v>
      </c>
    </row>
    <row r="138" spans="1:15" x14ac:dyDescent="0.3">
      <c r="A138" s="4" t="s">
        <v>184</v>
      </c>
      <c r="B138" s="3">
        <v>45368</v>
      </c>
      <c r="C138" s="2">
        <v>2024</v>
      </c>
      <c r="D138" s="2" t="s">
        <v>32</v>
      </c>
      <c r="E138" s="2" t="s">
        <v>16</v>
      </c>
      <c r="F138" s="2" t="s">
        <v>17</v>
      </c>
      <c r="G138" s="2" t="s">
        <v>18</v>
      </c>
      <c r="H138" s="2" t="s">
        <v>47</v>
      </c>
      <c r="I138" s="2" t="s">
        <v>20</v>
      </c>
      <c r="J138" s="2">
        <v>31481.71</v>
      </c>
      <c r="K138" s="2">
        <v>6</v>
      </c>
      <c r="L138" s="2">
        <v>0.2</v>
      </c>
      <c r="M138" s="2">
        <v>26334.01</v>
      </c>
      <c r="N138" s="2">
        <v>5147.7</v>
      </c>
      <c r="O138" s="5">
        <f t="shared" si="2"/>
        <v>5246.9516666666668</v>
      </c>
    </row>
    <row r="139" spans="1:15" x14ac:dyDescent="0.3">
      <c r="A139" s="4" t="s">
        <v>185</v>
      </c>
      <c r="B139" s="3">
        <v>45525</v>
      </c>
      <c r="C139" s="2">
        <v>2024</v>
      </c>
      <c r="D139" s="2" t="s">
        <v>54</v>
      </c>
      <c r="E139" s="2" t="s">
        <v>23</v>
      </c>
      <c r="F139" s="2" t="s">
        <v>34</v>
      </c>
      <c r="G139" s="2" t="s">
        <v>29</v>
      </c>
      <c r="H139" s="2" t="s">
        <v>39</v>
      </c>
      <c r="I139" s="2" t="s">
        <v>20</v>
      </c>
      <c r="J139" s="2">
        <v>35593.4</v>
      </c>
      <c r="K139" s="2">
        <v>7</v>
      </c>
      <c r="L139" s="2">
        <v>0.14000000000000001</v>
      </c>
      <c r="M139" s="2">
        <v>29019.23</v>
      </c>
      <c r="N139" s="2">
        <v>6574.17</v>
      </c>
      <c r="O139" s="5">
        <f t="shared" si="2"/>
        <v>5084.7714285714292</v>
      </c>
    </row>
    <row r="140" spans="1:15" x14ac:dyDescent="0.3">
      <c r="A140" s="4" t="s">
        <v>186</v>
      </c>
      <c r="B140" s="3">
        <v>45623</v>
      </c>
      <c r="C140" s="2">
        <v>2024</v>
      </c>
      <c r="D140" s="2" t="s">
        <v>62</v>
      </c>
      <c r="E140" s="2" t="s">
        <v>16</v>
      </c>
      <c r="F140" s="2" t="s">
        <v>43</v>
      </c>
      <c r="G140" s="2" t="s">
        <v>35</v>
      </c>
      <c r="H140" s="2" t="s">
        <v>19</v>
      </c>
      <c r="I140" s="2" t="s">
        <v>56</v>
      </c>
      <c r="J140" s="2">
        <v>6486.4</v>
      </c>
      <c r="K140" s="2">
        <v>11</v>
      </c>
      <c r="L140" s="2">
        <v>0.23</v>
      </c>
      <c r="M140" s="2">
        <v>5031.0200000000004</v>
      </c>
      <c r="N140" s="2">
        <v>1455.38</v>
      </c>
      <c r="O140" s="5">
        <f t="shared" si="2"/>
        <v>589.67272727272723</v>
      </c>
    </row>
    <row r="141" spans="1:15" x14ac:dyDescent="0.3">
      <c r="A141" s="4" t="s">
        <v>187</v>
      </c>
      <c r="B141" s="3">
        <v>45554</v>
      </c>
      <c r="C141" s="2">
        <v>2024</v>
      </c>
      <c r="D141" s="2" t="s">
        <v>64</v>
      </c>
      <c r="E141" s="2" t="s">
        <v>23</v>
      </c>
      <c r="F141" s="2" t="s">
        <v>17</v>
      </c>
      <c r="G141" s="2" t="s">
        <v>18</v>
      </c>
      <c r="H141" s="2" t="s">
        <v>19</v>
      </c>
      <c r="I141" s="2" t="s">
        <v>20</v>
      </c>
      <c r="J141" s="2">
        <v>5402.7</v>
      </c>
      <c r="K141" s="2">
        <v>11</v>
      </c>
      <c r="L141" s="2">
        <v>0.18</v>
      </c>
      <c r="M141" s="2">
        <v>4443.21</v>
      </c>
      <c r="N141" s="2">
        <v>959.49</v>
      </c>
      <c r="O141" s="5">
        <f t="shared" si="2"/>
        <v>491.15454545454543</v>
      </c>
    </row>
    <row r="142" spans="1:15" x14ac:dyDescent="0.3">
      <c r="A142" s="4" t="s">
        <v>188</v>
      </c>
      <c r="B142" s="3">
        <v>45517</v>
      </c>
      <c r="C142" s="2">
        <v>2024</v>
      </c>
      <c r="D142" s="2" t="s">
        <v>54</v>
      </c>
      <c r="E142" s="2" t="s">
        <v>23</v>
      </c>
      <c r="F142" s="2" t="s">
        <v>38</v>
      </c>
      <c r="G142" s="2" t="s">
        <v>29</v>
      </c>
      <c r="H142" s="2" t="s">
        <v>52</v>
      </c>
      <c r="I142" s="2" t="s">
        <v>56</v>
      </c>
      <c r="J142" s="2">
        <v>10654.43</v>
      </c>
      <c r="K142" s="2">
        <v>4</v>
      </c>
      <c r="L142" s="2">
        <v>0.02</v>
      </c>
      <c r="M142" s="2">
        <v>7495.64</v>
      </c>
      <c r="N142" s="2">
        <v>3158.79</v>
      </c>
      <c r="O142" s="5">
        <f t="shared" si="2"/>
        <v>2663.6075000000001</v>
      </c>
    </row>
    <row r="143" spans="1:15" x14ac:dyDescent="0.3">
      <c r="A143" s="4" t="s">
        <v>189</v>
      </c>
      <c r="B143" s="3">
        <v>45377</v>
      </c>
      <c r="C143" s="2">
        <v>2024</v>
      </c>
      <c r="D143" s="2" t="s">
        <v>32</v>
      </c>
      <c r="E143" s="2" t="s">
        <v>28</v>
      </c>
      <c r="F143" s="2" t="s">
        <v>38</v>
      </c>
      <c r="G143" s="2" t="s">
        <v>18</v>
      </c>
      <c r="H143" s="2" t="s">
        <v>19</v>
      </c>
      <c r="I143" s="2" t="s">
        <v>20</v>
      </c>
      <c r="J143" s="2">
        <v>20985.98</v>
      </c>
      <c r="K143" s="2">
        <v>2</v>
      </c>
      <c r="L143" s="2">
        <v>0.17</v>
      </c>
      <c r="M143" s="2">
        <v>12281.31</v>
      </c>
      <c r="N143" s="2">
        <v>8704.67</v>
      </c>
      <c r="O143" s="5">
        <f t="shared" si="2"/>
        <v>10492.99</v>
      </c>
    </row>
    <row r="144" spans="1:15" x14ac:dyDescent="0.3">
      <c r="A144" s="4" t="s">
        <v>190</v>
      </c>
      <c r="B144" s="3">
        <v>45450</v>
      </c>
      <c r="C144" s="2">
        <v>2024</v>
      </c>
      <c r="D144" s="2" t="s">
        <v>15</v>
      </c>
      <c r="E144" s="2" t="s">
        <v>49</v>
      </c>
      <c r="F144" s="2" t="s">
        <v>17</v>
      </c>
      <c r="G144" s="2" t="s">
        <v>35</v>
      </c>
      <c r="H144" s="2" t="s">
        <v>19</v>
      </c>
      <c r="I144" s="2" t="s">
        <v>25</v>
      </c>
      <c r="J144" s="2">
        <v>38044.33</v>
      </c>
      <c r="K144" s="2">
        <v>5</v>
      </c>
      <c r="L144" s="2">
        <v>0.12</v>
      </c>
      <c r="M144" s="2">
        <v>25566.02</v>
      </c>
      <c r="N144" s="2">
        <v>12478.31</v>
      </c>
      <c r="O144" s="5">
        <f t="shared" si="2"/>
        <v>7608.866</v>
      </c>
    </row>
    <row r="145" spans="1:15" x14ac:dyDescent="0.3">
      <c r="A145" s="4" t="s">
        <v>191</v>
      </c>
      <c r="B145" s="3">
        <v>45655</v>
      </c>
      <c r="C145" s="2">
        <v>2024</v>
      </c>
      <c r="D145" s="2" t="s">
        <v>41</v>
      </c>
      <c r="E145" s="2" t="s">
        <v>42</v>
      </c>
      <c r="F145" s="2" t="s">
        <v>43</v>
      </c>
      <c r="G145" s="2" t="s">
        <v>18</v>
      </c>
      <c r="H145" s="2" t="s">
        <v>47</v>
      </c>
      <c r="I145" s="2" t="s">
        <v>25</v>
      </c>
      <c r="J145" s="2">
        <v>34535.49</v>
      </c>
      <c r="K145" s="2">
        <v>6</v>
      </c>
      <c r="L145" s="2">
        <v>0.05</v>
      </c>
      <c r="M145" s="2">
        <v>29204.15</v>
      </c>
      <c r="N145" s="2">
        <v>5331.34</v>
      </c>
      <c r="O145" s="5">
        <f t="shared" si="2"/>
        <v>5755.915</v>
      </c>
    </row>
    <row r="146" spans="1:15" x14ac:dyDescent="0.3">
      <c r="A146" s="4" t="s">
        <v>192</v>
      </c>
      <c r="B146" s="3">
        <v>45604</v>
      </c>
      <c r="C146" s="2">
        <v>2024</v>
      </c>
      <c r="D146" s="2" t="s">
        <v>62</v>
      </c>
      <c r="E146" s="2" t="s">
        <v>28</v>
      </c>
      <c r="F146" s="2" t="s">
        <v>43</v>
      </c>
      <c r="G146" s="2" t="s">
        <v>29</v>
      </c>
      <c r="H146" s="2" t="s">
        <v>19</v>
      </c>
      <c r="I146" s="2" t="s">
        <v>20</v>
      </c>
      <c r="J146" s="2">
        <v>13525.34</v>
      </c>
      <c r="K146" s="2">
        <v>10</v>
      </c>
      <c r="L146" s="2">
        <v>0</v>
      </c>
      <c r="M146" s="2">
        <v>8211.5400000000009</v>
      </c>
      <c r="N146" s="2">
        <v>5313.8</v>
      </c>
      <c r="O146" s="5">
        <f t="shared" si="2"/>
        <v>1352.5340000000001</v>
      </c>
    </row>
    <row r="147" spans="1:15" x14ac:dyDescent="0.3">
      <c r="A147" s="4" t="s">
        <v>193</v>
      </c>
      <c r="B147" s="3">
        <v>45599</v>
      </c>
      <c r="C147" s="2">
        <v>2024</v>
      </c>
      <c r="D147" s="2" t="s">
        <v>62</v>
      </c>
      <c r="E147" s="2" t="s">
        <v>28</v>
      </c>
      <c r="F147" s="2" t="s">
        <v>38</v>
      </c>
      <c r="G147" s="2" t="s">
        <v>29</v>
      </c>
      <c r="H147" s="2" t="s">
        <v>47</v>
      </c>
      <c r="I147" s="2" t="s">
        <v>20</v>
      </c>
      <c r="J147" s="2">
        <v>2260.59</v>
      </c>
      <c r="K147" s="2">
        <v>5</v>
      </c>
      <c r="L147" s="2">
        <v>0.04</v>
      </c>
      <c r="M147" s="2">
        <v>1822.12</v>
      </c>
      <c r="N147" s="2">
        <v>438.47</v>
      </c>
      <c r="O147" s="5">
        <f t="shared" si="2"/>
        <v>452.11800000000005</v>
      </c>
    </row>
    <row r="148" spans="1:15" x14ac:dyDescent="0.3">
      <c r="A148" s="4" t="s">
        <v>194</v>
      </c>
      <c r="B148" s="3">
        <v>45539</v>
      </c>
      <c r="C148" s="2">
        <v>2024</v>
      </c>
      <c r="D148" s="2" t="s">
        <v>64</v>
      </c>
      <c r="E148" s="2" t="s">
        <v>42</v>
      </c>
      <c r="F148" s="2" t="s">
        <v>43</v>
      </c>
      <c r="G148" s="2" t="s">
        <v>18</v>
      </c>
      <c r="H148" s="2" t="s">
        <v>19</v>
      </c>
      <c r="I148" s="2" t="s">
        <v>56</v>
      </c>
      <c r="J148" s="2">
        <v>24151.75</v>
      </c>
      <c r="K148" s="2">
        <v>3</v>
      </c>
      <c r="L148" s="2">
        <v>0.19</v>
      </c>
      <c r="M148" s="2">
        <v>16810.259999999998</v>
      </c>
      <c r="N148" s="2">
        <v>7341.49</v>
      </c>
      <c r="O148" s="5">
        <f t="shared" si="2"/>
        <v>8050.583333333333</v>
      </c>
    </row>
    <row r="149" spans="1:15" x14ac:dyDescent="0.3">
      <c r="A149" s="4" t="s">
        <v>195</v>
      </c>
      <c r="B149" s="3">
        <v>45475</v>
      </c>
      <c r="C149" s="2">
        <v>2024</v>
      </c>
      <c r="D149" s="2" t="s">
        <v>22</v>
      </c>
      <c r="E149" s="2" t="s">
        <v>42</v>
      </c>
      <c r="F149" s="2" t="s">
        <v>17</v>
      </c>
      <c r="G149" s="2" t="s">
        <v>18</v>
      </c>
      <c r="H149" s="2" t="s">
        <v>30</v>
      </c>
      <c r="I149" s="2" t="s">
        <v>20</v>
      </c>
      <c r="J149" s="2">
        <v>23330.67</v>
      </c>
      <c r="K149" s="2">
        <v>9</v>
      </c>
      <c r="L149" s="2">
        <v>0.06</v>
      </c>
      <c r="M149" s="2">
        <v>13537.59</v>
      </c>
      <c r="N149" s="2">
        <v>9793.08</v>
      </c>
      <c r="O149" s="5">
        <f t="shared" si="2"/>
        <v>2592.2966666666666</v>
      </c>
    </row>
    <row r="150" spans="1:15" x14ac:dyDescent="0.3">
      <c r="A150" s="4" t="s">
        <v>196</v>
      </c>
      <c r="B150" s="3">
        <v>45413</v>
      </c>
      <c r="C150" s="2">
        <v>2024</v>
      </c>
      <c r="D150" s="2" t="s">
        <v>83</v>
      </c>
      <c r="E150" s="2" t="s">
        <v>42</v>
      </c>
      <c r="F150" s="2" t="s">
        <v>43</v>
      </c>
      <c r="G150" s="2" t="s">
        <v>29</v>
      </c>
      <c r="H150" s="2" t="s">
        <v>47</v>
      </c>
      <c r="I150" s="2" t="s">
        <v>25</v>
      </c>
      <c r="J150" s="2">
        <v>10268.280000000001</v>
      </c>
      <c r="K150" s="2">
        <v>11</v>
      </c>
      <c r="L150" s="2">
        <v>0.11</v>
      </c>
      <c r="M150" s="2">
        <v>8538.1200000000008</v>
      </c>
      <c r="N150" s="2">
        <v>1730.16</v>
      </c>
      <c r="O150" s="5">
        <f t="shared" si="2"/>
        <v>933.48</v>
      </c>
    </row>
    <row r="151" spans="1:15" x14ac:dyDescent="0.3">
      <c r="A151" s="4" t="s">
        <v>197</v>
      </c>
      <c r="B151" s="3">
        <v>45368</v>
      </c>
      <c r="C151" s="2">
        <v>2024</v>
      </c>
      <c r="D151" s="2" t="s">
        <v>32</v>
      </c>
      <c r="E151" s="2" t="s">
        <v>28</v>
      </c>
      <c r="F151" s="2" t="s">
        <v>43</v>
      </c>
      <c r="G151" s="2" t="s">
        <v>35</v>
      </c>
      <c r="H151" s="2" t="s">
        <v>47</v>
      </c>
      <c r="I151" s="2" t="s">
        <v>20</v>
      </c>
      <c r="J151" s="2">
        <v>24459.58</v>
      </c>
      <c r="K151" s="2">
        <v>10</v>
      </c>
      <c r="L151" s="2">
        <v>0.17</v>
      </c>
      <c r="M151" s="2">
        <v>13891.4</v>
      </c>
      <c r="N151" s="2">
        <v>10568.18</v>
      </c>
      <c r="O151" s="5">
        <f t="shared" si="2"/>
        <v>2445.9580000000001</v>
      </c>
    </row>
    <row r="152" spans="1:15" x14ac:dyDescent="0.3">
      <c r="A152" s="4" t="s">
        <v>198</v>
      </c>
      <c r="B152" s="3">
        <v>45491</v>
      </c>
      <c r="C152" s="2">
        <v>2024</v>
      </c>
      <c r="D152" s="2" t="s">
        <v>22</v>
      </c>
      <c r="E152" s="2" t="s">
        <v>16</v>
      </c>
      <c r="F152" s="2" t="s">
        <v>17</v>
      </c>
      <c r="G152" s="2" t="s">
        <v>35</v>
      </c>
      <c r="H152" s="2" t="s">
        <v>47</v>
      </c>
      <c r="I152" s="2" t="s">
        <v>56</v>
      </c>
      <c r="J152" s="2">
        <v>39278.5</v>
      </c>
      <c r="K152" s="2">
        <v>10</v>
      </c>
      <c r="L152" s="2">
        <v>0.23</v>
      </c>
      <c r="M152" s="2">
        <v>31008.22</v>
      </c>
      <c r="N152" s="2">
        <v>8270.2800000000007</v>
      </c>
      <c r="O152" s="5">
        <f t="shared" si="2"/>
        <v>3927.85</v>
      </c>
    </row>
    <row r="153" spans="1:15" x14ac:dyDescent="0.3">
      <c r="A153" s="4" t="s">
        <v>199</v>
      </c>
      <c r="B153" s="3">
        <v>45377</v>
      </c>
      <c r="C153" s="2">
        <v>2024</v>
      </c>
      <c r="D153" s="2" t="s">
        <v>32</v>
      </c>
      <c r="E153" s="2" t="s">
        <v>28</v>
      </c>
      <c r="F153" s="2" t="s">
        <v>24</v>
      </c>
      <c r="G153" s="2" t="s">
        <v>35</v>
      </c>
      <c r="H153" s="2" t="s">
        <v>52</v>
      </c>
      <c r="I153" s="2" t="s">
        <v>20</v>
      </c>
      <c r="J153" s="2">
        <v>6459.97</v>
      </c>
      <c r="K153" s="2">
        <v>1</v>
      </c>
      <c r="L153" s="2">
        <v>0.11</v>
      </c>
      <c r="M153" s="2">
        <v>5480.52</v>
      </c>
      <c r="N153" s="2">
        <v>979.45</v>
      </c>
      <c r="O153" s="5">
        <f t="shared" si="2"/>
        <v>6459.97</v>
      </c>
    </row>
    <row r="154" spans="1:15" x14ac:dyDescent="0.3">
      <c r="A154" s="4" t="s">
        <v>200</v>
      </c>
      <c r="B154" s="3">
        <v>45478</v>
      </c>
      <c r="C154" s="2">
        <v>2024</v>
      </c>
      <c r="D154" s="2" t="s">
        <v>22</v>
      </c>
      <c r="E154" s="2" t="s">
        <v>23</v>
      </c>
      <c r="F154" s="2" t="s">
        <v>24</v>
      </c>
      <c r="G154" s="2" t="s">
        <v>29</v>
      </c>
      <c r="H154" s="2" t="s">
        <v>39</v>
      </c>
      <c r="I154" s="2" t="s">
        <v>56</v>
      </c>
      <c r="J154" s="2">
        <v>13140.25</v>
      </c>
      <c r="K154" s="2">
        <v>10</v>
      </c>
      <c r="L154" s="2">
        <v>0.17</v>
      </c>
      <c r="M154" s="2">
        <v>8607.1200000000008</v>
      </c>
      <c r="N154" s="2">
        <v>4533.13</v>
      </c>
      <c r="O154" s="5">
        <f t="shared" si="2"/>
        <v>1314.0250000000001</v>
      </c>
    </row>
    <row r="155" spans="1:15" x14ac:dyDescent="0.3">
      <c r="A155" s="4" t="s">
        <v>201</v>
      </c>
      <c r="B155" s="3">
        <v>45589</v>
      </c>
      <c r="C155" s="2">
        <v>2024</v>
      </c>
      <c r="D155" s="2" t="s">
        <v>67</v>
      </c>
      <c r="E155" s="2" t="s">
        <v>28</v>
      </c>
      <c r="F155" s="2" t="s">
        <v>34</v>
      </c>
      <c r="G155" s="2" t="s">
        <v>35</v>
      </c>
      <c r="H155" s="2" t="s">
        <v>19</v>
      </c>
      <c r="I155" s="2" t="s">
        <v>56</v>
      </c>
      <c r="J155" s="2">
        <v>34039</v>
      </c>
      <c r="K155" s="2">
        <v>4</v>
      </c>
      <c r="L155" s="2">
        <v>0.18</v>
      </c>
      <c r="M155" s="2">
        <v>22468.16</v>
      </c>
      <c r="N155" s="2">
        <v>11570.84</v>
      </c>
      <c r="O155" s="5">
        <f t="shared" si="2"/>
        <v>8509.75</v>
      </c>
    </row>
    <row r="156" spans="1:15" x14ac:dyDescent="0.3">
      <c r="A156" s="4" t="s">
        <v>202</v>
      </c>
      <c r="B156" s="3">
        <v>45522</v>
      </c>
      <c r="C156" s="2">
        <v>2024</v>
      </c>
      <c r="D156" s="2" t="s">
        <v>54</v>
      </c>
      <c r="E156" s="2" t="s">
        <v>49</v>
      </c>
      <c r="F156" s="2" t="s">
        <v>17</v>
      </c>
      <c r="G156" s="2" t="s">
        <v>18</v>
      </c>
      <c r="H156" s="2" t="s">
        <v>19</v>
      </c>
      <c r="I156" s="2" t="s">
        <v>56</v>
      </c>
      <c r="J156" s="2">
        <v>7039.66</v>
      </c>
      <c r="K156" s="2">
        <v>2</v>
      </c>
      <c r="L156" s="2">
        <v>0.02</v>
      </c>
      <c r="M156" s="2">
        <v>4511.6899999999996</v>
      </c>
      <c r="N156" s="2">
        <v>2527.9699999999998</v>
      </c>
      <c r="O156" s="5">
        <f t="shared" si="2"/>
        <v>3519.83</v>
      </c>
    </row>
    <row r="157" spans="1:15" x14ac:dyDescent="0.3">
      <c r="A157" s="4" t="s">
        <v>203</v>
      </c>
      <c r="B157" s="3">
        <v>45591</v>
      </c>
      <c r="C157" s="2">
        <v>2024</v>
      </c>
      <c r="D157" s="2" t="s">
        <v>67</v>
      </c>
      <c r="E157" s="2" t="s">
        <v>49</v>
      </c>
      <c r="F157" s="2" t="s">
        <v>43</v>
      </c>
      <c r="G157" s="2" t="s">
        <v>29</v>
      </c>
      <c r="H157" s="2" t="s">
        <v>39</v>
      </c>
      <c r="I157" s="2" t="s">
        <v>56</v>
      </c>
      <c r="J157" s="2">
        <v>5847.74</v>
      </c>
      <c r="K157" s="2">
        <v>2</v>
      </c>
      <c r="L157" s="2">
        <v>0.11</v>
      </c>
      <c r="M157" s="2">
        <v>3565.82</v>
      </c>
      <c r="N157" s="2">
        <v>2281.92</v>
      </c>
      <c r="O157" s="5">
        <f t="shared" si="2"/>
        <v>2923.87</v>
      </c>
    </row>
    <row r="158" spans="1:15" x14ac:dyDescent="0.3">
      <c r="A158" s="4" t="s">
        <v>204</v>
      </c>
      <c r="B158" s="3">
        <v>45607</v>
      </c>
      <c r="C158" s="2">
        <v>2024</v>
      </c>
      <c r="D158" s="2" t="s">
        <v>62</v>
      </c>
      <c r="E158" s="2" t="s">
        <v>23</v>
      </c>
      <c r="F158" s="2" t="s">
        <v>24</v>
      </c>
      <c r="G158" s="2" t="s">
        <v>18</v>
      </c>
      <c r="H158" s="2" t="s">
        <v>39</v>
      </c>
      <c r="I158" s="2" t="s">
        <v>56</v>
      </c>
      <c r="J158" s="2">
        <v>7543.26</v>
      </c>
      <c r="K158" s="2">
        <v>11</v>
      </c>
      <c r="L158" s="2">
        <v>0.02</v>
      </c>
      <c r="M158" s="2">
        <v>5732.84</v>
      </c>
      <c r="N158" s="2">
        <v>1810.42</v>
      </c>
      <c r="O158" s="5">
        <f t="shared" si="2"/>
        <v>685.75090909090909</v>
      </c>
    </row>
    <row r="159" spans="1:15" x14ac:dyDescent="0.3">
      <c r="A159" s="4" t="s">
        <v>205</v>
      </c>
      <c r="B159" s="3">
        <v>45630</v>
      </c>
      <c r="C159" s="2">
        <v>2024</v>
      </c>
      <c r="D159" s="2" t="s">
        <v>41</v>
      </c>
      <c r="E159" s="2" t="s">
        <v>28</v>
      </c>
      <c r="F159" s="2" t="s">
        <v>38</v>
      </c>
      <c r="G159" s="2" t="s">
        <v>35</v>
      </c>
      <c r="H159" s="2" t="s">
        <v>47</v>
      </c>
      <c r="I159" s="2" t="s">
        <v>25</v>
      </c>
      <c r="J159" s="2">
        <v>30972.14</v>
      </c>
      <c r="K159" s="2">
        <v>6</v>
      </c>
      <c r="L159" s="2">
        <v>0.2</v>
      </c>
      <c r="M159" s="2">
        <v>17149.439999999999</v>
      </c>
      <c r="N159" s="2">
        <v>13822.7</v>
      </c>
      <c r="O159" s="5">
        <f t="shared" si="2"/>
        <v>5162.0233333333335</v>
      </c>
    </row>
    <row r="160" spans="1:15" x14ac:dyDescent="0.3">
      <c r="A160" s="4" t="s">
        <v>206</v>
      </c>
      <c r="B160" s="3">
        <v>45355</v>
      </c>
      <c r="C160" s="2">
        <v>2024</v>
      </c>
      <c r="D160" s="2" t="s">
        <v>32</v>
      </c>
      <c r="E160" s="2" t="s">
        <v>49</v>
      </c>
      <c r="F160" s="2" t="s">
        <v>34</v>
      </c>
      <c r="G160" s="2" t="s">
        <v>29</v>
      </c>
      <c r="H160" s="2" t="s">
        <v>52</v>
      </c>
      <c r="I160" s="2" t="s">
        <v>56</v>
      </c>
      <c r="J160" s="2">
        <v>5795.26</v>
      </c>
      <c r="K160" s="2">
        <v>2</v>
      </c>
      <c r="L160" s="2">
        <v>0.08</v>
      </c>
      <c r="M160" s="2">
        <v>3255.9</v>
      </c>
      <c r="N160" s="2">
        <v>2539.36</v>
      </c>
      <c r="O160" s="5">
        <f t="shared" si="2"/>
        <v>2897.63</v>
      </c>
    </row>
    <row r="161" spans="1:15" x14ac:dyDescent="0.3">
      <c r="A161" s="4" t="s">
        <v>207</v>
      </c>
      <c r="B161" s="3">
        <v>45327</v>
      </c>
      <c r="C161" s="2">
        <v>2024</v>
      </c>
      <c r="D161" s="2" t="s">
        <v>51</v>
      </c>
      <c r="E161" s="2" t="s">
        <v>23</v>
      </c>
      <c r="F161" s="2" t="s">
        <v>38</v>
      </c>
      <c r="G161" s="2" t="s">
        <v>35</v>
      </c>
      <c r="H161" s="2" t="s">
        <v>39</v>
      </c>
      <c r="I161" s="2" t="s">
        <v>56</v>
      </c>
      <c r="J161" s="2">
        <v>4372.08</v>
      </c>
      <c r="K161" s="2">
        <v>1</v>
      </c>
      <c r="L161" s="2">
        <v>0.23</v>
      </c>
      <c r="M161" s="2">
        <v>2650.34</v>
      </c>
      <c r="N161" s="2">
        <v>1721.74</v>
      </c>
      <c r="O161" s="5">
        <f t="shared" si="2"/>
        <v>4372.08</v>
      </c>
    </row>
    <row r="162" spans="1:15" x14ac:dyDescent="0.3">
      <c r="A162" s="4" t="s">
        <v>208</v>
      </c>
      <c r="B162" s="3">
        <v>45369</v>
      </c>
      <c r="C162" s="2">
        <v>2024</v>
      </c>
      <c r="D162" s="2" t="s">
        <v>32</v>
      </c>
      <c r="E162" s="2" t="s">
        <v>28</v>
      </c>
      <c r="F162" s="2" t="s">
        <v>38</v>
      </c>
      <c r="G162" s="2" t="s">
        <v>35</v>
      </c>
      <c r="H162" s="2" t="s">
        <v>47</v>
      </c>
      <c r="I162" s="2" t="s">
        <v>25</v>
      </c>
      <c r="J162" s="2">
        <v>25376.720000000001</v>
      </c>
      <c r="K162" s="2">
        <v>9</v>
      </c>
      <c r="L162" s="2">
        <v>0.24</v>
      </c>
      <c r="M162" s="2">
        <v>19703.29</v>
      </c>
      <c r="N162" s="2">
        <v>5673.43</v>
      </c>
      <c r="O162" s="5">
        <f t="shared" si="2"/>
        <v>2819.6355555555556</v>
      </c>
    </row>
    <row r="163" spans="1:15" x14ac:dyDescent="0.3">
      <c r="A163" s="4" t="s">
        <v>209</v>
      </c>
      <c r="B163" s="3">
        <v>45580</v>
      </c>
      <c r="C163" s="2">
        <v>2024</v>
      </c>
      <c r="D163" s="2" t="s">
        <v>67</v>
      </c>
      <c r="E163" s="2" t="s">
        <v>42</v>
      </c>
      <c r="F163" s="2" t="s">
        <v>38</v>
      </c>
      <c r="G163" s="2" t="s">
        <v>35</v>
      </c>
      <c r="H163" s="2" t="s">
        <v>39</v>
      </c>
      <c r="I163" s="2" t="s">
        <v>20</v>
      </c>
      <c r="J163" s="2">
        <v>30859.74</v>
      </c>
      <c r="K163" s="2">
        <v>4</v>
      </c>
      <c r="L163" s="2">
        <v>0.23</v>
      </c>
      <c r="M163" s="2">
        <v>22817.03</v>
      </c>
      <c r="N163" s="2">
        <v>8042.71</v>
      </c>
      <c r="O163" s="5">
        <f t="shared" si="2"/>
        <v>7714.9350000000004</v>
      </c>
    </row>
    <row r="164" spans="1:15" x14ac:dyDescent="0.3">
      <c r="A164" s="4" t="s">
        <v>210</v>
      </c>
      <c r="B164" s="3">
        <v>45409</v>
      </c>
      <c r="C164" s="2">
        <v>2024</v>
      </c>
      <c r="D164" s="2" t="s">
        <v>37</v>
      </c>
      <c r="E164" s="2" t="s">
        <v>16</v>
      </c>
      <c r="F164" s="2" t="s">
        <v>24</v>
      </c>
      <c r="G164" s="2" t="s">
        <v>29</v>
      </c>
      <c r="H164" s="2" t="s">
        <v>52</v>
      </c>
      <c r="I164" s="2" t="s">
        <v>25</v>
      </c>
      <c r="J164" s="2">
        <v>30448.78</v>
      </c>
      <c r="K164" s="2">
        <v>2</v>
      </c>
      <c r="L164" s="2">
        <v>0.22</v>
      </c>
      <c r="M164" s="2">
        <v>24217.46</v>
      </c>
      <c r="N164" s="2">
        <v>6231.32</v>
      </c>
      <c r="O164" s="5">
        <f t="shared" si="2"/>
        <v>15224.39</v>
      </c>
    </row>
    <row r="165" spans="1:15" x14ac:dyDescent="0.3">
      <c r="A165" s="4" t="s">
        <v>211</v>
      </c>
      <c r="B165" s="3">
        <v>45507</v>
      </c>
      <c r="C165" s="2">
        <v>2024</v>
      </c>
      <c r="D165" s="2" t="s">
        <v>54</v>
      </c>
      <c r="E165" s="2" t="s">
        <v>49</v>
      </c>
      <c r="F165" s="2" t="s">
        <v>17</v>
      </c>
      <c r="G165" s="2" t="s">
        <v>18</v>
      </c>
      <c r="H165" s="2" t="s">
        <v>58</v>
      </c>
      <c r="I165" s="2" t="s">
        <v>56</v>
      </c>
      <c r="J165" s="2">
        <v>17777.63</v>
      </c>
      <c r="K165" s="2">
        <v>7</v>
      </c>
      <c r="L165" s="2">
        <v>0.21</v>
      </c>
      <c r="M165" s="2">
        <v>14030.24</v>
      </c>
      <c r="N165" s="2">
        <v>3747.39</v>
      </c>
      <c r="O165" s="5">
        <f t="shared" si="2"/>
        <v>2539.6614285714286</v>
      </c>
    </row>
    <row r="166" spans="1:15" x14ac:dyDescent="0.3">
      <c r="A166" s="4" t="s">
        <v>212</v>
      </c>
      <c r="B166" s="3">
        <v>45453</v>
      </c>
      <c r="C166" s="2">
        <v>2024</v>
      </c>
      <c r="D166" s="2" t="s">
        <v>15</v>
      </c>
      <c r="E166" s="2" t="s">
        <v>23</v>
      </c>
      <c r="F166" s="2" t="s">
        <v>43</v>
      </c>
      <c r="G166" s="2" t="s">
        <v>29</v>
      </c>
      <c r="H166" s="2" t="s">
        <v>58</v>
      </c>
      <c r="I166" s="2" t="s">
        <v>25</v>
      </c>
      <c r="J166" s="2">
        <v>36730.730000000003</v>
      </c>
      <c r="K166" s="2">
        <v>11</v>
      </c>
      <c r="L166" s="2">
        <v>0.02</v>
      </c>
      <c r="M166" s="2">
        <v>20670.189999999999</v>
      </c>
      <c r="N166" s="2">
        <v>16060.54</v>
      </c>
      <c r="O166" s="5">
        <f t="shared" si="2"/>
        <v>3339.1572727272728</v>
      </c>
    </row>
    <row r="167" spans="1:15" x14ac:dyDescent="0.3">
      <c r="A167" s="4" t="s">
        <v>213</v>
      </c>
      <c r="B167" s="3">
        <v>45337</v>
      </c>
      <c r="C167" s="2">
        <v>2024</v>
      </c>
      <c r="D167" s="2" t="s">
        <v>51</v>
      </c>
      <c r="E167" s="2" t="s">
        <v>23</v>
      </c>
      <c r="F167" s="2" t="s">
        <v>34</v>
      </c>
      <c r="G167" s="2" t="s">
        <v>35</v>
      </c>
      <c r="H167" s="2" t="s">
        <v>58</v>
      </c>
      <c r="I167" s="2" t="s">
        <v>25</v>
      </c>
      <c r="J167" s="2">
        <v>6714.31</v>
      </c>
      <c r="K167" s="2">
        <v>3</v>
      </c>
      <c r="L167" s="2">
        <v>0.09</v>
      </c>
      <c r="M167" s="2">
        <v>5570.71</v>
      </c>
      <c r="N167" s="2">
        <v>1143.5999999999999</v>
      </c>
      <c r="O167" s="5">
        <f t="shared" si="2"/>
        <v>2238.1033333333335</v>
      </c>
    </row>
    <row r="168" spans="1:15" x14ac:dyDescent="0.3">
      <c r="A168" s="4" t="s">
        <v>214</v>
      </c>
      <c r="B168" s="3">
        <v>45408</v>
      </c>
      <c r="C168" s="2">
        <v>2024</v>
      </c>
      <c r="D168" s="2" t="s">
        <v>37</v>
      </c>
      <c r="E168" s="2" t="s">
        <v>16</v>
      </c>
      <c r="F168" s="2" t="s">
        <v>38</v>
      </c>
      <c r="G168" s="2" t="s">
        <v>29</v>
      </c>
      <c r="H168" s="2" t="s">
        <v>47</v>
      </c>
      <c r="I168" s="2" t="s">
        <v>20</v>
      </c>
      <c r="J168" s="2">
        <v>18107.64</v>
      </c>
      <c r="K168" s="2">
        <v>10</v>
      </c>
      <c r="L168" s="2">
        <v>0.25</v>
      </c>
      <c r="M168" s="2">
        <v>14154.85</v>
      </c>
      <c r="N168" s="2">
        <v>3952.79</v>
      </c>
      <c r="O168" s="5">
        <f t="shared" si="2"/>
        <v>1810.7639999999999</v>
      </c>
    </row>
    <row r="169" spans="1:15" x14ac:dyDescent="0.3">
      <c r="A169" s="4" t="s">
        <v>215</v>
      </c>
      <c r="B169" s="3">
        <v>45337</v>
      </c>
      <c r="C169" s="2">
        <v>2024</v>
      </c>
      <c r="D169" s="2" t="s">
        <v>51</v>
      </c>
      <c r="E169" s="2" t="s">
        <v>42</v>
      </c>
      <c r="F169" s="2" t="s">
        <v>17</v>
      </c>
      <c r="G169" s="2" t="s">
        <v>18</v>
      </c>
      <c r="H169" s="2" t="s">
        <v>39</v>
      </c>
      <c r="I169" s="2" t="s">
        <v>56</v>
      </c>
      <c r="J169" s="2">
        <v>15276.06</v>
      </c>
      <c r="K169" s="2">
        <v>11</v>
      </c>
      <c r="L169" s="2">
        <v>0.22</v>
      </c>
      <c r="M169" s="2">
        <v>12810.4</v>
      </c>
      <c r="N169" s="2">
        <v>2465.66</v>
      </c>
      <c r="O169" s="5">
        <f t="shared" si="2"/>
        <v>1388.7327272727273</v>
      </c>
    </row>
    <row r="170" spans="1:15" x14ac:dyDescent="0.3">
      <c r="A170" s="4" t="s">
        <v>216</v>
      </c>
      <c r="B170" s="3">
        <v>45653</v>
      </c>
      <c r="C170" s="2">
        <v>2024</v>
      </c>
      <c r="D170" s="2" t="s">
        <v>41</v>
      </c>
      <c r="E170" s="2" t="s">
        <v>49</v>
      </c>
      <c r="F170" s="2" t="s">
        <v>24</v>
      </c>
      <c r="G170" s="2" t="s">
        <v>18</v>
      </c>
      <c r="H170" s="2" t="s">
        <v>19</v>
      </c>
      <c r="I170" s="2" t="s">
        <v>20</v>
      </c>
      <c r="J170" s="2">
        <v>22210.49</v>
      </c>
      <c r="K170" s="2">
        <v>9</v>
      </c>
      <c r="L170" s="2">
        <v>0.23</v>
      </c>
      <c r="M170" s="2">
        <v>13073.91</v>
      </c>
      <c r="N170" s="2">
        <v>9136.58</v>
      </c>
      <c r="O170" s="5">
        <f t="shared" si="2"/>
        <v>2467.8322222222223</v>
      </c>
    </row>
    <row r="171" spans="1:15" x14ac:dyDescent="0.3">
      <c r="A171" s="4" t="s">
        <v>217</v>
      </c>
      <c r="B171" s="3">
        <v>45334</v>
      </c>
      <c r="C171" s="2">
        <v>2024</v>
      </c>
      <c r="D171" s="2" t="s">
        <v>51</v>
      </c>
      <c r="E171" s="2" t="s">
        <v>23</v>
      </c>
      <c r="F171" s="2" t="s">
        <v>34</v>
      </c>
      <c r="G171" s="2" t="s">
        <v>18</v>
      </c>
      <c r="H171" s="2" t="s">
        <v>52</v>
      </c>
      <c r="I171" s="2" t="s">
        <v>25</v>
      </c>
      <c r="J171" s="2">
        <v>8375.8799999999992</v>
      </c>
      <c r="K171" s="2">
        <v>6</v>
      </c>
      <c r="L171" s="2">
        <v>0.15</v>
      </c>
      <c r="M171" s="2">
        <v>5913.67</v>
      </c>
      <c r="N171" s="2">
        <v>2462.21</v>
      </c>
      <c r="O171" s="5">
        <f t="shared" si="2"/>
        <v>1395.9799999999998</v>
      </c>
    </row>
    <row r="172" spans="1:15" x14ac:dyDescent="0.3">
      <c r="A172" s="4" t="s">
        <v>218</v>
      </c>
      <c r="B172" s="3">
        <v>45644</v>
      </c>
      <c r="C172" s="2">
        <v>2024</v>
      </c>
      <c r="D172" s="2" t="s">
        <v>41</v>
      </c>
      <c r="E172" s="2" t="s">
        <v>23</v>
      </c>
      <c r="F172" s="2" t="s">
        <v>24</v>
      </c>
      <c r="G172" s="2" t="s">
        <v>29</v>
      </c>
      <c r="H172" s="2" t="s">
        <v>52</v>
      </c>
      <c r="I172" s="2" t="s">
        <v>56</v>
      </c>
      <c r="J172" s="2">
        <v>6567.22</v>
      </c>
      <c r="K172" s="2">
        <v>3</v>
      </c>
      <c r="L172" s="2">
        <v>0.13</v>
      </c>
      <c r="M172" s="2">
        <v>4148.12</v>
      </c>
      <c r="N172" s="2">
        <v>2419.1</v>
      </c>
      <c r="O172" s="5">
        <f t="shared" si="2"/>
        <v>2189.0733333333333</v>
      </c>
    </row>
    <row r="173" spans="1:15" x14ac:dyDescent="0.3">
      <c r="A173" s="4" t="s">
        <v>219</v>
      </c>
      <c r="B173" s="3">
        <v>45582</v>
      </c>
      <c r="C173" s="2">
        <v>2024</v>
      </c>
      <c r="D173" s="2" t="s">
        <v>67</v>
      </c>
      <c r="E173" s="2" t="s">
        <v>23</v>
      </c>
      <c r="F173" s="2" t="s">
        <v>34</v>
      </c>
      <c r="G173" s="2" t="s">
        <v>29</v>
      </c>
      <c r="H173" s="2" t="s">
        <v>39</v>
      </c>
      <c r="I173" s="2" t="s">
        <v>25</v>
      </c>
      <c r="J173" s="2">
        <v>39347.65</v>
      </c>
      <c r="K173" s="2">
        <v>3</v>
      </c>
      <c r="L173" s="2">
        <v>0.02</v>
      </c>
      <c r="M173" s="2">
        <v>26174.9</v>
      </c>
      <c r="N173" s="2">
        <v>13172.75</v>
      </c>
      <c r="O173" s="5">
        <f t="shared" si="2"/>
        <v>13115.883333333333</v>
      </c>
    </row>
    <row r="174" spans="1:15" x14ac:dyDescent="0.3">
      <c r="A174" s="4" t="s">
        <v>220</v>
      </c>
      <c r="B174" s="3">
        <v>45387</v>
      </c>
      <c r="C174" s="2">
        <v>2024</v>
      </c>
      <c r="D174" s="2" t="s">
        <v>37</v>
      </c>
      <c r="E174" s="2" t="s">
        <v>28</v>
      </c>
      <c r="F174" s="2" t="s">
        <v>34</v>
      </c>
      <c r="G174" s="2" t="s">
        <v>18</v>
      </c>
      <c r="H174" s="2" t="s">
        <v>19</v>
      </c>
      <c r="I174" s="2" t="s">
        <v>56</v>
      </c>
      <c r="J174" s="2">
        <v>12643.35</v>
      </c>
      <c r="K174" s="2">
        <v>4</v>
      </c>
      <c r="L174" s="2">
        <v>0.18</v>
      </c>
      <c r="M174" s="2">
        <v>9886.14</v>
      </c>
      <c r="N174" s="2">
        <v>2757.21</v>
      </c>
      <c r="O174" s="5">
        <f t="shared" si="2"/>
        <v>3160.8375000000001</v>
      </c>
    </row>
    <row r="175" spans="1:15" x14ac:dyDescent="0.3">
      <c r="A175" s="4" t="s">
        <v>221</v>
      </c>
      <c r="B175" s="3">
        <v>45475</v>
      </c>
      <c r="C175" s="2">
        <v>2024</v>
      </c>
      <c r="D175" s="2" t="s">
        <v>22</v>
      </c>
      <c r="E175" s="2" t="s">
        <v>49</v>
      </c>
      <c r="F175" s="2" t="s">
        <v>24</v>
      </c>
      <c r="G175" s="2" t="s">
        <v>18</v>
      </c>
      <c r="H175" s="2" t="s">
        <v>39</v>
      </c>
      <c r="I175" s="2" t="s">
        <v>25</v>
      </c>
      <c r="J175" s="2">
        <v>20388.310000000001</v>
      </c>
      <c r="K175" s="2">
        <v>5</v>
      </c>
      <c r="L175" s="2">
        <v>0.14000000000000001</v>
      </c>
      <c r="M175" s="2">
        <v>13845.89</v>
      </c>
      <c r="N175" s="2">
        <v>6542.42</v>
      </c>
      <c r="O175" s="5">
        <f t="shared" si="2"/>
        <v>4077.6620000000003</v>
      </c>
    </row>
    <row r="176" spans="1:15" x14ac:dyDescent="0.3">
      <c r="A176" s="4" t="s">
        <v>222</v>
      </c>
      <c r="B176" s="3">
        <v>45522</v>
      </c>
      <c r="C176" s="2">
        <v>2024</v>
      </c>
      <c r="D176" s="2" t="s">
        <v>54</v>
      </c>
      <c r="E176" s="2" t="s">
        <v>28</v>
      </c>
      <c r="F176" s="2" t="s">
        <v>24</v>
      </c>
      <c r="G176" s="2" t="s">
        <v>18</v>
      </c>
      <c r="H176" s="2" t="s">
        <v>52</v>
      </c>
      <c r="I176" s="2" t="s">
        <v>25</v>
      </c>
      <c r="J176" s="2">
        <v>36717.72</v>
      </c>
      <c r="K176" s="2">
        <v>9</v>
      </c>
      <c r="L176" s="2">
        <v>0.24</v>
      </c>
      <c r="M176" s="2">
        <v>27041.42</v>
      </c>
      <c r="N176" s="2">
        <v>9676.2999999999993</v>
      </c>
      <c r="O176" s="5">
        <f t="shared" si="2"/>
        <v>4079.7466666666669</v>
      </c>
    </row>
    <row r="177" spans="1:15" x14ac:dyDescent="0.3">
      <c r="A177" s="4" t="s">
        <v>223</v>
      </c>
      <c r="B177" s="3">
        <v>45557</v>
      </c>
      <c r="C177" s="2">
        <v>2024</v>
      </c>
      <c r="D177" s="2" t="s">
        <v>64</v>
      </c>
      <c r="E177" s="2" t="s">
        <v>16</v>
      </c>
      <c r="F177" s="2" t="s">
        <v>24</v>
      </c>
      <c r="G177" s="2" t="s">
        <v>18</v>
      </c>
      <c r="H177" s="2" t="s">
        <v>58</v>
      </c>
      <c r="I177" s="2" t="s">
        <v>20</v>
      </c>
      <c r="J177" s="2">
        <v>12663.95</v>
      </c>
      <c r="K177" s="2">
        <v>8</v>
      </c>
      <c r="L177" s="2">
        <v>0.03</v>
      </c>
      <c r="M177" s="2">
        <v>10041.31</v>
      </c>
      <c r="N177" s="2">
        <v>2622.64</v>
      </c>
      <c r="O177" s="5">
        <f t="shared" si="2"/>
        <v>1582.9937500000001</v>
      </c>
    </row>
    <row r="178" spans="1:15" x14ac:dyDescent="0.3">
      <c r="A178" s="4" t="s">
        <v>224</v>
      </c>
      <c r="B178" s="3">
        <v>45561</v>
      </c>
      <c r="C178" s="2">
        <v>2024</v>
      </c>
      <c r="D178" s="2" t="s">
        <v>64</v>
      </c>
      <c r="E178" s="2" t="s">
        <v>23</v>
      </c>
      <c r="F178" s="2" t="s">
        <v>38</v>
      </c>
      <c r="G178" s="2" t="s">
        <v>29</v>
      </c>
      <c r="H178" s="2" t="s">
        <v>19</v>
      </c>
      <c r="I178" s="2" t="s">
        <v>20</v>
      </c>
      <c r="J178" s="2">
        <v>15170.56</v>
      </c>
      <c r="K178" s="2">
        <v>1</v>
      </c>
      <c r="L178" s="2">
        <v>0.1</v>
      </c>
      <c r="M178" s="2">
        <v>10604.87</v>
      </c>
      <c r="N178" s="2">
        <v>4565.6899999999996</v>
      </c>
      <c r="O178" s="5">
        <f t="shared" si="2"/>
        <v>15170.56</v>
      </c>
    </row>
    <row r="179" spans="1:15" x14ac:dyDescent="0.3">
      <c r="A179" s="4" t="s">
        <v>225</v>
      </c>
      <c r="B179" s="3">
        <v>45633</v>
      </c>
      <c r="C179" s="2">
        <v>2024</v>
      </c>
      <c r="D179" s="2" t="s">
        <v>41</v>
      </c>
      <c r="E179" s="2" t="s">
        <v>23</v>
      </c>
      <c r="F179" s="2" t="s">
        <v>17</v>
      </c>
      <c r="G179" s="2" t="s">
        <v>29</v>
      </c>
      <c r="H179" s="2" t="s">
        <v>39</v>
      </c>
      <c r="I179" s="2" t="s">
        <v>20</v>
      </c>
      <c r="J179" s="2">
        <v>22875.68</v>
      </c>
      <c r="K179" s="2">
        <v>6</v>
      </c>
      <c r="L179" s="2">
        <v>0.11</v>
      </c>
      <c r="M179" s="2">
        <v>13596.47</v>
      </c>
      <c r="N179" s="2">
        <v>9279.2099999999991</v>
      </c>
      <c r="O179" s="5">
        <f t="shared" si="2"/>
        <v>3812.6133333333332</v>
      </c>
    </row>
    <row r="180" spans="1:15" x14ac:dyDescent="0.3">
      <c r="A180" s="4" t="s">
        <v>226</v>
      </c>
      <c r="B180" s="3">
        <v>45293</v>
      </c>
      <c r="C180" s="2">
        <v>2024</v>
      </c>
      <c r="D180" s="2" t="s">
        <v>27</v>
      </c>
      <c r="E180" s="2" t="s">
        <v>16</v>
      </c>
      <c r="F180" s="2" t="s">
        <v>38</v>
      </c>
      <c r="G180" s="2" t="s">
        <v>29</v>
      </c>
      <c r="H180" s="2" t="s">
        <v>39</v>
      </c>
      <c r="I180" s="2" t="s">
        <v>20</v>
      </c>
      <c r="J180" s="2">
        <v>3468.05</v>
      </c>
      <c r="K180" s="2">
        <v>7</v>
      </c>
      <c r="L180" s="2">
        <v>0.1</v>
      </c>
      <c r="M180" s="2">
        <v>2056.44</v>
      </c>
      <c r="N180" s="2">
        <v>1411.61</v>
      </c>
      <c r="O180" s="5">
        <f t="shared" si="2"/>
        <v>495.43571428571431</v>
      </c>
    </row>
    <row r="181" spans="1:15" x14ac:dyDescent="0.3">
      <c r="A181" s="4" t="s">
        <v>227</v>
      </c>
      <c r="B181" s="3">
        <v>45579</v>
      </c>
      <c r="C181" s="2">
        <v>2024</v>
      </c>
      <c r="D181" s="2" t="s">
        <v>67</v>
      </c>
      <c r="E181" s="2" t="s">
        <v>23</v>
      </c>
      <c r="F181" s="2" t="s">
        <v>17</v>
      </c>
      <c r="G181" s="2" t="s">
        <v>29</v>
      </c>
      <c r="H181" s="2" t="s">
        <v>58</v>
      </c>
      <c r="I181" s="2" t="s">
        <v>20</v>
      </c>
      <c r="J181" s="2">
        <v>1716.38</v>
      </c>
      <c r="K181" s="2">
        <v>3</v>
      </c>
      <c r="L181" s="2">
        <v>0.02</v>
      </c>
      <c r="M181" s="2">
        <v>1348.25</v>
      </c>
      <c r="N181" s="2">
        <v>368.13</v>
      </c>
      <c r="O181" s="5">
        <f t="shared" si="2"/>
        <v>572.12666666666667</v>
      </c>
    </row>
    <row r="182" spans="1:15" x14ac:dyDescent="0.3">
      <c r="A182" s="4" t="s">
        <v>228</v>
      </c>
      <c r="B182" s="3">
        <v>45500</v>
      </c>
      <c r="C182" s="2">
        <v>2024</v>
      </c>
      <c r="D182" s="2" t="s">
        <v>22</v>
      </c>
      <c r="E182" s="2" t="s">
        <v>16</v>
      </c>
      <c r="F182" s="2" t="s">
        <v>24</v>
      </c>
      <c r="G182" s="2" t="s">
        <v>18</v>
      </c>
      <c r="H182" s="2" t="s">
        <v>39</v>
      </c>
      <c r="I182" s="2" t="s">
        <v>20</v>
      </c>
      <c r="J182" s="2">
        <v>25604.14</v>
      </c>
      <c r="K182" s="2">
        <v>6</v>
      </c>
      <c r="L182" s="2">
        <v>0.18</v>
      </c>
      <c r="M182" s="2">
        <v>16578.2</v>
      </c>
      <c r="N182" s="2">
        <v>9025.94</v>
      </c>
      <c r="O182" s="5">
        <f t="shared" si="2"/>
        <v>4267.3566666666666</v>
      </c>
    </row>
    <row r="183" spans="1:15" x14ac:dyDescent="0.3">
      <c r="A183" s="4" t="s">
        <v>229</v>
      </c>
      <c r="B183" s="3">
        <v>45340</v>
      </c>
      <c r="C183" s="2">
        <v>2024</v>
      </c>
      <c r="D183" s="2" t="s">
        <v>51</v>
      </c>
      <c r="E183" s="2" t="s">
        <v>23</v>
      </c>
      <c r="F183" s="2" t="s">
        <v>24</v>
      </c>
      <c r="G183" s="2" t="s">
        <v>35</v>
      </c>
      <c r="H183" s="2" t="s">
        <v>58</v>
      </c>
      <c r="I183" s="2" t="s">
        <v>20</v>
      </c>
      <c r="J183" s="2">
        <v>15338.55</v>
      </c>
      <c r="K183" s="2">
        <v>9</v>
      </c>
      <c r="L183" s="2">
        <v>0.15</v>
      </c>
      <c r="M183" s="2">
        <v>11260.6</v>
      </c>
      <c r="N183" s="2">
        <v>4077.95</v>
      </c>
      <c r="O183" s="5">
        <f t="shared" si="2"/>
        <v>1704.2833333333333</v>
      </c>
    </row>
    <row r="184" spans="1:15" x14ac:dyDescent="0.3">
      <c r="A184" s="4" t="s">
        <v>230</v>
      </c>
      <c r="B184" s="3">
        <v>45445</v>
      </c>
      <c r="C184" s="2">
        <v>2024</v>
      </c>
      <c r="D184" s="2" t="s">
        <v>15</v>
      </c>
      <c r="E184" s="2" t="s">
        <v>16</v>
      </c>
      <c r="F184" s="2" t="s">
        <v>34</v>
      </c>
      <c r="G184" s="2" t="s">
        <v>35</v>
      </c>
      <c r="H184" s="2" t="s">
        <v>19</v>
      </c>
      <c r="I184" s="2" t="s">
        <v>25</v>
      </c>
      <c r="J184" s="2">
        <v>3916.45</v>
      </c>
      <c r="K184" s="2">
        <v>9</v>
      </c>
      <c r="L184" s="2">
        <v>0.16</v>
      </c>
      <c r="M184" s="2">
        <v>3155.59</v>
      </c>
      <c r="N184" s="2">
        <v>760.86</v>
      </c>
      <c r="O184" s="5">
        <f t="shared" si="2"/>
        <v>435.1611111111111</v>
      </c>
    </row>
    <row r="185" spans="1:15" x14ac:dyDescent="0.3">
      <c r="A185" s="4" t="s">
        <v>231</v>
      </c>
      <c r="B185" s="3">
        <v>45453</v>
      </c>
      <c r="C185" s="2">
        <v>2024</v>
      </c>
      <c r="D185" s="2" t="s">
        <v>15</v>
      </c>
      <c r="E185" s="2" t="s">
        <v>28</v>
      </c>
      <c r="F185" s="2" t="s">
        <v>34</v>
      </c>
      <c r="G185" s="2" t="s">
        <v>35</v>
      </c>
      <c r="H185" s="2" t="s">
        <v>47</v>
      </c>
      <c r="I185" s="2" t="s">
        <v>25</v>
      </c>
      <c r="J185" s="2">
        <v>12036.2</v>
      </c>
      <c r="K185" s="2">
        <v>11</v>
      </c>
      <c r="L185" s="2">
        <v>0.02</v>
      </c>
      <c r="M185" s="2">
        <v>8970.93</v>
      </c>
      <c r="N185" s="2">
        <v>3065.27</v>
      </c>
      <c r="O185" s="5">
        <f t="shared" si="2"/>
        <v>1094.2</v>
      </c>
    </row>
    <row r="186" spans="1:15" x14ac:dyDescent="0.3">
      <c r="A186" s="4" t="s">
        <v>232</v>
      </c>
      <c r="B186" s="3">
        <v>45547</v>
      </c>
      <c r="C186" s="2">
        <v>2024</v>
      </c>
      <c r="D186" s="2" t="s">
        <v>64</v>
      </c>
      <c r="E186" s="2" t="s">
        <v>16</v>
      </c>
      <c r="F186" s="2" t="s">
        <v>17</v>
      </c>
      <c r="G186" s="2" t="s">
        <v>29</v>
      </c>
      <c r="H186" s="2" t="s">
        <v>19</v>
      </c>
      <c r="I186" s="2" t="s">
        <v>56</v>
      </c>
      <c r="J186" s="2">
        <v>27983.49</v>
      </c>
      <c r="K186" s="2">
        <v>5</v>
      </c>
      <c r="L186" s="2">
        <v>0.06</v>
      </c>
      <c r="M186" s="2">
        <v>21873.82</v>
      </c>
      <c r="N186" s="2">
        <v>6109.67</v>
      </c>
      <c r="O186" s="5">
        <f t="shared" si="2"/>
        <v>5596.6980000000003</v>
      </c>
    </row>
    <row r="187" spans="1:15" x14ac:dyDescent="0.3">
      <c r="A187" s="4" t="s">
        <v>233</v>
      </c>
      <c r="B187" s="3">
        <v>45630</v>
      </c>
      <c r="C187" s="2">
        <v>2024</v>
      </c>
      <c r="D187" s="2" t="s">
        <v>41</v>
      </c>
      <c r="E187" s="2" t="s">
        <v>28</v>
      </c>
      <c r="F187" s="2" t="s">
        <v>38</v>
      </c>
      <c r="G187" s="2" t="s">
        <v>18</v>
      </c>
      <c r="H187" s="2" t="s">
        <v>39</v>
      </c>
      <c r="I187" s="2" t="s">
        <v>25</v>
      </c>
      <c r="J187" s="2">
        <v>30576.58</v>
      </c>
      <c r="K187" s="2">
        <v>11</v>
      </c>
      <c r="L187" s="2">
        <v>7.0000000000000007E-2</v>
      </c>
      <c r="M187" s="2">
        <v>24809.83</v>
      </c>
      <c r="N187" s="2">
        <v>5766.75</v>
      </c>
      <c r="O187" s="5">
        <f t="shared" si="2"/>
        <v>2779.6890909090912</v>
      </c>
    </row>
    <row r="188" spans="1:15" x14ac:dyDescent="0.3">
      <c r="A188" s="4" t="s">
        <v>234</v>
      </c>
      <c r="B188" s="3">
        <v>45356</v>
      </c>
      <c r="C188" s="2">
        <v>2024</v>
      </c>
      <c r="D188" s="2" t="s">
        <v>32</v>
      </c>
      <c r="E188" s="2" t="s">
        <v>42</v>
      </c>
      <c r="F188" s="2" t="s">
        <v>34</v>
      </c>
      <c r="G188" s="2" t="s">
        <v>18</v>
      </c>
      <c r="H188" s="2" t="s">
        <v>47</v>
      </c>
      <c r="I188" s="2" t="s">
        <v>56</v>
      </c>
      <c r="J188" s="2">
        <v>20611.53</v>
      </c>
      <c r="K188" s="2">
        <v>4</v>
      </c>
      <c r="L188" s="2">
        <v>0.02</v>
      </c>
      <c r="M188" s="2">
        <v>13606.49</v>
      </c>
      <c r="N188" s="2">
        <v>7005.04</v>
      </c>
      <c r="O188" s="5">
        <f t="shared" si="2"/>
        <v>5152.8824999999997</v>
      </c>
    </row>
    <row r="189" spans="1:15" x14ac:dyDescent="0.3">
      <c r="A189" s="4" t="s">
        <v>235</v>
      </c>
      <c r="B189" s="3">
        <v>45606</v>
      </c>
      <c r="C189" s="2">
        <v>2024</v>
      </c>
      <c r="D189" s="2" t="s">
        <v>62</v>
      </c>
      <c r="E189" s="2" t="s">
        <v>28</v>
      </c>
      <c r="F189" s="2" t="s">
        <v>38</v>
      </c>
      <c r="G189" s="2" t="s">
        <v>35</v>
      </c>
      <c r="H189" s="2" t="s">
        <v>58</v>
      </c>
      <c r="I189" s="2" t="s">
        <v>25</v>
      </c>
      <c r="J189" s="2">
        <v>9453.9500000000007</v>
      </c>
      <c r="K189" s="2">
        <v>4</v>
      </c>
      <c r="L189" s="2">
        <v>0.18</v>
      </c>
      <c r="M189" s="2">
        <v>5443.7</v>
      </c>
      <c r="N189" s="2">
        <v>4010.25</v>
      </c>
      <c r="O189" s="5">
        <f t="shared" si="2"/>
        <v>2363.4875000000002</v>
      </c>
    </row>
    <row r="190" spans="1:15" x14ac:dyDescent="0.3">
      <c r="A190" s="4" t="s">
        <v>236</v>
      </c>
      <c r="B190" s="3">
        <v>45558</v>
      </c>
      <c r="C190" s="2">
        <v>2024</v>
      </c>
      <c r="D190" s="2" t="s">
        <v>64</v>
      </c>
      <c r="E190" s="2" t="s">
        <v>28</v>
      </c>
      <c r="F190" s="2" t="s">
        <v>24</v>
      </c>
      <c r="G190" s="2" t="s">
        <v>29</v>
      </c>
      <c r="H190" s="2" t="s">
        <v>30</v>
      </c>
      <c r="I190" s="2" t="s">
        <v>56</v>
      </c>
      <c r="J190" s="2">
        <v>33708.239999999998</v>
      </c>
      <c r="K190" s="2">
        <v>11</v>
      </c>
      <c r="L190" s="2">
        <v>0.06</v>
      </c>
      <c r="M190" s="2">
        <v>20279.150000000001</v>
      </c>
      <c r="N190" s="2">
        <v>13429.09</v>
      </c>
      <c r="O190" s="5">
        <f t="shared" si="2"/>
        <v>3064.3854545454542</v>
      </c>
    </row>
    <row r="191" spans="1:15" x14ac:dyDescent="0.3">
      <c r="A191" s="4" t="s">
        <v>237</v>
      </c>
      <c r="B191" s="3">
        <v>45319</v>
      </c>
      <c r="C191" s="2">
        <v>2024</v>
      </c>
      <c r="D191" s="2" t="s">
        <v>27</v>
      </c>
      <c r="E191" s="2" t="s">
        <v>42</v>
      </c>
      <c r="F191" s="2" t="s">
        <v>17</v>
      </c>
      <c r="G191" s="2" t="s">
        <v>18</v>
      </c>
      <c r="H191" s="2" t="s">
        <v>19</v>
      </c>
      <c r="I191" s="2" t="s">
        <v>56</v>
      </c>
      <c r="J191" s="2">
        <v>8941.57</v>
      </c>
      <c r="K191" s="2">
        <v>6</v>
      </c>
      <c r="L191" s="2">
        <v>0.14000000000000001</v>
      </c>
      <c r="M191" s="2">
        <v>6372.05</v>
      </c>
      <c r="N191" s="2">
        <v>2569.52</v>
      </c>
      <c r="O191" s="5">
        <f t="shared" si="2"/>
        <v>1490.2616666666665</v>
      </c>
    </row>
    <row r="192" spans="1:15" x14ac:dyDescent="0.3">
      <c r="A192" s="4" t="s">
        <v>238</v>
      </c>
      <c r="B192" s="3">
        <v>45448</v>
      </c>
      <c r="C192" s="2">
        <v>2024</v>
      </c>
      <c r="D192" s="2" t="s">
        <v>15</v>
      </c>
      <c r="E192" s="2" t="s">
        <v>16</v>
      </c>
      <c r="F192" s="2" t="s">
        <v>34</v>
      </c>
      <c r="G192" s="2" t="s">
        <v>35</v>
      </c>
      <c r="H192" s="2" t="s">
        <v>52</v>
      </c>
      <c r="I192" s="2" t="s">
        <v>56</v>
      </c>
      <c r="J192" s="2">
        <v>30471.09</v>
      </c>
      <c r="K192" s="2">
        <v>2</v>
      </c>
      <c r="L192" s="2">
        <v>0.18</v>
      </c>
      <c r="M192" s="2">
        <v>21188.31</v>
      </c>
      <c r="N192" s="2">
        <v>9282.7800000000007</v>
      </c>
      <c r="O192" s="5">
        <f t="shared" si="2"/>
        <v>15235.545</v>
      </c>
    </row>
    <row r="193" spans="1:15" x14ac:dyDescent="0.3">
      <c r="A193" s="4" t="s">
        <v>239</v>
      </c>
      <c r="B193" s="3">
        <v>45300</v>
      </c>
      <c r="C193" s="2">
        <v>2024</v>
      </c>
      <c r="D193" s="2" t="s">
        <v>27</v>
      </c>
      <c r="E193" s="2" t="s">
        <v>42</v>
      </c>
      <c r="F193" s="2" t="s">
        <v>24</v>
      </c>
      <c r="G193" s="2" t="s">
        <v>29</v>
      </c>
      <c r="H193" s="2" t="s">
        <v>52</v>
      </c>
      <c r="I193" s="2" t="s">
        <v>20</v>
      </c>
      <c r="J193" s="2">
        <v>6806.38</v>
      </c>
      <c r="K193" s="2">
        <v>2</v>
      </c>
      <c r="L193" s="2">
        <v>0.05</v>
      </c>
      <c r="M193" s="2">
        <v>4987.7299999999996</v>
      </c>
      <c r="N193" s="2">
        <v>1818.65</v>
      </c>
      <c r="O193" s="5">
        <f t="shared" si="2"/>
        <v>3403.19</v>
      </c>
    </row>
    <row r="194" spans="1:15" x14ac:dyDescent="0.3">
      <c r="A194" s="4" t="s">
        <v>240</v>
      </c>
      <c r="B194" s="3">
        <v>45539</v>
      </c>
      <c r="C194" s="2">
        <v>2024</v>
      </c>
      <c r="D194" s="2" t="s">
        <v>64</v>
      </c>
      <c r="E194" s="2" t="s">
        <v>16</v>
      </c>
      <c r="F194" s="2" t="s">
        <v>43</v>
      </c>
      <c r="G194" s="2" t="s">
        <v>29</v>
      </c>
      <c r="H194" s="2" t="s">
        <v>39</v>
      </c>
      <c r="I194" s="2" t="s">
        <v>56</v>
      </c>
      <c r="J194" s="2">
        <v>37446.239999999998</v>
      </c>
      <c r="K194" s="2">
        <v>5</v>
      </c>
      <c r="L194" s="2">
        <v>0.22</v>
      </c>
      <c r="M194" s="2">
        <v>28628.36</v>
      </c>
      <c r="N194" s="2">
        <v>8817.8799999999992</v>
      </c>
      <c r="O194" s="5">
        <f t="shared" si="2"/>
        <v>7489.2479999999996</v>
      </c>
    </row>
    <row r="195" spans="1:15" x14ac:dyDescent="0.3">
      <c r="A195" s="4" t="s">
        <v>241</v>
      </c>
      <c r="B195" s="3">
        <v>45392</v>
      </c>
      <c r="C195" s="2">
        <v>2024</v>
      </c>
      <c r="D195" s="2" t="s">
        <v>37</v>
      </c>
      <c r="E195" s="2" t="s">
        <v>23</v>
      </c>
      <c r="F195" s="2" t="s">
        <v>34</v>
      </c>
      <c r="G195" s="2" t="s">
        <v>29</v>
      </c>
      <c r="H195" s="2" t="s">
        <v>58</v>
      </c>
      <c r="I195" s="2" t="s">
        <v>20</v>
      </c>
      <c r="J195" s="2">
        <v>31116.13</v>
      </c>
      <c r="K195" s="2">
        <v>1</v>
      </c>
      <c r="L195" s="2">
        <v>0.14000000000000001</v>
      </c>
      <c r="M195" s="2">
        <v>24023.38</v>
      </c>
      <c r="N195" s="2">
        <v>7092.75</v>
      </c>
      <c r="O195" s="5">
        <f t="shared" ref="O195:O199" si="3">J195/K195</f>
        <v>31116.13</v>
      </c>
    </row>
    <row r="196" spans="1:15" x14ac:dyDescent="0.3">
      <c r="A196" s="4" t="s">
        <v>242</v>
      </c>
      <c r="B196" s="3">
        <v>45546</v>
      </c>
      <c r="C196" s="2">
        <v>2024</v>
      </c>
      <c r="D196" s="2" t="s">
        <v>64</v>
      </c>
      <c r="E196" s="2" t="s">
        <v>23</v>
      </c>
      <c r="F196" s="2" t="s">
        <v>24</v>
      </c>
      <c r="G196" s="2" t="s">
        <v>18</v>
      </c>
      <c r="H196" s="2" t="s">
        <v>30</v>
      </c>
      <c r="I196" s="2" t="s">
        <v>56</v>
      </c>
      <c r="J196" s="2">
        <v>20448.599999999999</v>
      </c>
      <c r="K196" s="2">
        <v>7</v>
      </c>
      <c r="L196" s="2">
        <v>7.0000000000000007E-2</v>
      </c>
      <c r="M196" s="2">
        <v>11707.12</v>
      </c>
      <c r="N196" s="2">
        <v>8741.48</v>
      </c>
      <c r="O196" s="5">
        <f t="shared" si="3"/>
        <v>2921.2285714285713</v>
      </c>
    </row>
    <row r="197" spans="1:15" x14ac:dyDescent="0.3">
      <c r="A197" s="4" t="s">
        <v>243</v>
      </c>
      <c r="B197" s="3">
        <v>45602</v>
      </c>
      <c r="C197" s="2">
        <v>2024</v>
      </c>
      <c r="D197" s="2" t="s">
        <v>62</v>
      </c>
      <c r="E197" s="2" t="s">
        <v>16</v>
      </c>
      <c r="F197" s="2" t="s">
        <v>43</v>
      </c>
      <c r="G197" s="2" t="s">
        <v>35</v>
      </c>
      <c r="H197" s="2" t="s">
        <v>19</v>
      </c>
      <c r="I197" s="2" t="s">
        <v>56</v>
      </c>
      <c r="J197" s="2">
        <v>17819.509999999998</v>
      </c>
      <c r="K197" s="2">
        <v>10</v>
      </c>
      <c r="L197" s="2">
        <v>0.17</v>
      </c>
      <c r="M197" s="2">
        <v>11865.31</v>
      </c>
      <c r="N197" s="2">
        <v>5954.2</v>
      </c>
      <c r="O197" s="5">
        <f t="shared" si="3"/>
        <v>1781.9509999999998</v>
      </c>
    </row>
    <row r="198" spans="1:15" x14ac:dyDescent="0.3">
      <c r="A198" s="4" t="s">
        <v>244</v>
      </c>
      <c r="B198" s="3">
        <v>45590</v>
      </c>
      <c r="C198" s="2">
        <v>2024</v>
      </c>
      <c r="D198" s="2" t="s">
        <v>67</v>
      </c>
      <c r="E198" s="2" t="s">
        <v>23</v>
      </c>
      <c r="F198" s="2" t="s">
        <v>17</v>
      </c>
      <c r="G198" s="2" t="s">
        <v>35</v>
      </c>
      <c r="H198" s="2" t="s">
        <v>58</v>
      </c>
      <c r="I198" s="2" t="s">
        <v>20</v>
      </c>
      <c r="J198" s="2">
        <v>23260.65</v>
      </c>
      <c r="K198" s="2">
        <v>7</v>
      </c>
      <c r="L198" s="2">
        <v>0.22</v>
      </c>
      <c r="M198" s="2">
        <v>12908.99</v>
      </c>
      <c r="N198" s="2">
        <v>10351.66</v>
      </c>
      <c r="O198" s="5">
        <f t="shared" si="3"/>
        <v>3322.9500000000003</v>
      </c>
    </row>
    <row r="199" spans="1:15" x14ac:dyDescent="0.3">
      <c r="A199" s="4" t="s">
        <v>245</v>
      </c>
      <c r="B199" s="3">
        <v>45640</v>
      </c>
      <c r="C199" s="2">
        <v>2024</v>
      </c>
      <c r="D199" s="2" t="s">
        <v>41</v>
      </c>
      <c r="E199" s="2" t="s">
        <v>28</v>
      </c>
      <c r="F199" s="2" t="s">
        <v>17</v>
      </c>
      <c r="G199" s="2" t="s">
        <v>29</v>
      </c>
      <c r="H199" s="2" t="s">
        <v>47</v>
      </c>
      <c r="I199" s="2" t="s">
        <v>25</v>
      </c>
      <c r="J199" s="2">
        <v>26715.68</v>
      </c>
      <c r="K199" s="2">
        <v>2</v>
      </c>
      <c r="L199" s="2">
        <v>0.02</v>
      </c>
      <c r="M199" s="2">
        <v>19697.009999999998</v>
      </c>
      <c r="N199" s="2">
        <v>7018.67</v>
      </c>
      <c r="O199" s="5">
        <f t="shared" si="3"/>
        <v>13357.84</v>
      </c>
    </row>
    <row r="200" spans="1:15" x14ac:dyDescent="0.3">
      <c r="A200" s="4" t="s">
        <v>246</v>
      </c>
      <c r="B200" s="3">
        <v>45299</v>
      </c>
      <c r="C200" s="2">
        <v>2024</v>
      </c>
      <c r="D200" s="2" t="s">
        <v>27</v>
      </c>
      <c r="E200" s="2" t="s">
        <v>28</v>
      </c>
      <c r="F200" s="2" t="s">
        <v>34</v>
      </c>
      <c r="G200" s="2" t="s">
        <v>18</v>
      </c>
      <c r="H200" s="2" t="s">
        <v>58</v>
      </c>
      <c r="I200" s="2" t="s">
        <v>25</v>
      </c>
      <c r="J200" s="2">
        <v>22669</v>
      </c>
      <c r="K200" s="2">
        <v>3</v>
      </c>
      <c r="L200" s="2">
        <v>0.22</v>
      </c>
      <c r="M200" s="2">
        <v>18119.66</v>
      </c>
      <c r="N200" s="2">
        <v>4549.34</v>
      </c>
      <c r="O200" s="5">
        <f>J200/K200</f>
        <v>7556.333333333333</v>
      </c>
    </row>
    <row r="201" spans="1:15" x14ac:dyDescent="0.3">
      <c r="A201" s="9" t="s">
        <v>247</v>
      </c>
      <c r="B201" s="10">
        <v>45533</v>
      </c>
      <c r="C201" s="11">
        <v>2024</v>
      </c>
      <c r="D201" s="11" t="s">
        <v>54</v>
      </c>
      <c r="E201" s="11" t="s">
        <v>42</v>
      </c>
      <c r="F201" s="11" t="s">
        <v>38</v>
      </c>
      <c r="G201" s="11" t="s">
        <v>18</v>
      </c>
      <c r="H201" s="11" t="s">
        <v>52</v>
      </c>
      <c r="I201" s="11" t="s">
        <v>20</v>
      </c>
      <c r="J201" s="11">
        <v>28076.03</v>
      </c>
      <c r="K201" s="11">
        <v>2</v>
      </c>
      <c r="L201" s="11">
        <v>0.03</v>
      </c>
      <c r="M201" s="11">
        <v>16368.5</v>
      </c>
      <c r="N201" s="11">
        <v>11707.53</v>
      </c>
      <c r="O201" s="12">
        <f t="shared" ref="O201" si="4">J201/K201</f>
        <v>14038.014999999999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91F0C-501C-461A-8212-C5B0DC5F6901}">
  <dimension ref="A2:J206"/>
  <sheetViews>
    <sheetView workbookViewId="0">
      <selection activeCell="P20" sqref="P20"/>
    </sheetView>
  </sheetViews>
  <sheetFormatPr defaultRowHeight="14.4" x14ac:dyDescent="0.3"/>
  <cols>
    <col min="8" max="8" width="9.33203125" bestFit="1" customWidth="1"/>
  </cols>
  <sheetData>
    <row r="2" spans="1:10" x14ac:dyDescent="0.3">
      <c r="A2" s="42" t="s">
        <v>276</v>
      </c>
      <c r="B2" s="42"/>
      <c r="C2" s="42"/>
      <c r="D2" s="42"/>
      <c r="E2" s="42"/>
      <c r="F2" s="42"/>
      <c r="G2" s="42"/>
      <c r="H2" s="42"/>
      <c r="I2" s="42"/>
      <c r="J2" s="34"/>
    </row>
    <row r="6" spans="1:10" x14ac:dyDescent="0.3">
      <c r="A6" s="20" t="s">
        <v>0</v>
      </c>
      <c r="B6" s="20" t="s">
        <v>9</v>
      </c>
      <c r="C6" s="20" t="s">
        <v>10</v>
      </c>
      <c r="D6" s="20" t="s">
        <v>13</v>
      </c>
      <c r="E6" s="20" t="s">
        <v>4</v>
      </c>
    </row>
    <row r="7" spans="1:10" x14ac:dyDescent="0.3">
      <c r="A7" s="21" t="s">
        <v>14</v>
      </c>
      <c r="B7" s="21">
        <f>INDEX(Data!A1:O201,MATCH('Index &amp; Match'!A7,Data!A1:A201,0),10)</f>
        <v>20012.71</v>
      </c>
      <c r="C7" s="21">
        <f>INDEX(Data!A1:O201,MATCH('Index &amp; Match'!A7,Data!A1:A201,0),11)</f>
        <v>6</v>
      </c>
      <c r="D7" s="21">
        <f>INDEX(Data!A1:O201,MATCH('Index &amp; Match'!A7,Data!A1:A201,0),14)</f>
        <v>4906.33</v>
      </c>
      <c r="E7" s="21" t="str">
        <f>INDEX(Data!A1:O201,MATCH('Index &amp; Match'!A7,Data!A1:A201,0),5)</f>
        <v>North</v>
      </c>
    </row>
    <row r="8" spans="1:10" x14ac:dyDescent="0.3">
      <c r="A8" s="21" t="s">
        <v>21</v>
      </c>
      <c r="B8" s="21">
        <f>INDEX(Data!A2:O202,MATCH('Index &amp; Match'!A8,Data!A2:A202,0),10)</f>
        <v>32526.73</v>
      </c>
      <c r="C8" s="21">
        <f>INDEX(Data!A2:O202,MATCH('Index &amp; Match'!A8,Data!A2:A202,0),11)</f>
        <v>6</v>
      </c>
      <c r="D8" s="21">
        <f>INDEX(Data!A2:O202,MATCH('Index &amp; Match'!A8,Data!A2:A202,0),14)</f>
        <v>8954.1</v>
      </c>
      <c r="E8" s="21" t="str">
        <f>INDEX(Data!A2:O202,MATCH('Index &amp; Match'!A8,Data!A2:A202,0),5)</f>
        <v>East</v>
      </c>
    </row>
    <row r="9" spans="1:10" x14ac:dyDescent="0.3">
      <c r="A9" s="21" t="s">
        <v>26</v>
      </c>
      <c r="B9" s="21">
        <f>INDEX(Data!A3:O203,MATCH('Index &amp; Match'!A9,Data!A3:A203,0),10)</f>
        <v>4927.51</v>
      </c>
      <c r="C9" s="21">
        <f>INDEX(Data!A3:O203,MATCH('Index &amp; Match'!A9,Data!A3:A203,0),11)</f>
        <v>1</v>
      </c>
      <c r="D9" s="21">
        <f>INDEX(Data!A3:O203,MATCH('Index &amp; Match'!A9,Data!A3:A203,0),14)</f>
        <v>849.13</v>
      </c>
      <c r="E9" s="21" t="str">
        <f>INDEX(Data!A3:O203,MATCH('Index &amp; Match'!A9,Data!A3:A203,0),5)</f>
        <v>Central</v>
      </c>
    </row>
    <row r="10" spans="1:10" x14ac:dyDescent="0.3">
      <c r="A10" s="21" t="s">
        <v>31</v>
      </c>
      <c r="B10" s="21">
        <f>INDEX(Data!A4:O204,MATCH('Index &amp; Match'!A10,Data!A4:A204,0),10)</f>
        <v>38088.83</v>
      </c>
      <c r="C10" s="21">
        <f>INDEX(Data!A4:O204,MATCH('Index &amp; Match'!A10,Data!A4:A204,0),11)</f>
        <v>2</v>
      </c>
      <c r="D10" s="21">
        <f>INDEX(Data!A4:O204,MATCH('Index &amp; Match'!A10,Data!A4:A204,0),14)</f>
        <v>10876.52</v>
      </c>
      <c r="E10" s="21" t="str">
        <f>INDEX(Data!A4:O204,MATCH('Index &amp; Match'!A10,Data!A4:A204,0),5)</f>
        <v>North</v>
      </c>
    </row>
    <row r="11" spans="1:10" x14ac:dyDescent="0.3">
      <c r="A11" s="21" t="s">
        <v>33</v>
      </c>
      <c r="B11" s="21">
        <f>INDEX(Data!A5:O205,MATCH('Index &amp; Match'!A11,Data!A5:A205,0),10)</f>
        <v>19018.79</v>
      </c>
      <c r="C11" s="21">
        <f>INDEX(Data!A5:O205,MATCH('Index &amp; Match'!A11,Data!A5:A205,0),11)</f>
        <v>2</v>
      </c>
      <c r="D11" s="21">
        <f>INDEX(Data!A5:O205,MATCH('Index &amp; Match'!A11,Data!A5:A205,0),14)</f>
        <v>3500.18</v>
      </c>
      <c r="E11" s="21" t="str">
        <f>INDEX(Data!A5:O205,MATCH('Index &amp; Match'!A11,Data!A5:A205,0),5)</f>
        <v>North</v>
      </c>
    </row>
    <row r="12" spans="1:10" x14ac:dyDescent="0.3">
      <c r="A12" s="21" t="s">
        <v>36</v>
      </c>
      <c r="B12" s="21">
        <f>INDEX(Data!A6:O206,MATCH('Index &amp; Match'!A12,Data!A6:A206,0),10)</f>
        <v>13800.67</v>
      </c>
      <c r="C12" s="21">
        <f>INDEX(Data!A6:O206,MATCH('Index &amp; Match'!A12,Data!A6:A206,0),11)</f>
        <v>6</v>
      </c>
      <c r="D12" s="21">
        <f>INDEX(Data!A6:O206,MATCH('Index &amp; Match'!A12,Data!A6:A206,0),14)</f>
        <v>4054.21</v>
      </c>
      <c r="E12" s="21" t="str">
        <f>INDEX(Data!A6:O206,MATCH('Index &amp; Match'!A12,Data!A6:A206,0),5)</f>
        <v>Central</v>
      </c>
    </row>
    <row r="13" spans="1:10" x14ac:dyDescent="0.3">
      <c r="A13" s="21" t="s">
        <v>40</v>
      </c>
      <c r="B13" s="21">
        <f>INDEX(Data!A7:O207,MATCH('Index &amp; Match'!A13,Data!A7:A207,0),10)</f>
        <v>31318.959999999999</v>
      </c>
      <c r="C13" s="21">
        <f>INDEX(Data!A7:O207,MATCH('Index &amp; Match'!A13,Data!A7:A207,0),11)</f>
        <v>9</v>
      </c>
      <c r="D13" s="21">
        <f>INDEX(Data!A7:O207,MATCH('Index &amp; Match'!A13,Data!A7:A207,0),14)</f>
        <v>6846.84</v>
      </c>
      <c r="E13" s="21" t="str">
        <f>INDEX(Data!A7:O207,MATCH('Index &amp; Match'!A13,Data!A7:A207,0),5)</f>
        <v>South</v>
      </c>
    </row>
    <row r="14" spans="1:10" x14ac:dyDescent="0.3">
      <c r="A14" s="21" t="s">
        <v>44</v>
      </c>
      <c r="B14" s="21">
        <f>INDEX(Data!A8:O208,MATCH('Index &amp; Match'!A14,Data!A8:A208,0),10)</f>
        <v>10853.73</v>
      </c>
      <c r="C14" s="21">
        <f>INDEX(Data!A8:O208,MATCH('Index &amp; Match'!A14,Data!A8:A208,0),11)</f>
        <v>10</v>
      </c>
      <c r="D14" s="21">
        <f>INDEX(Data!A8:O208,MATCH('Index &amp; Match'!A14,Data!A8:A208,0),14)</f>
        <v>2442.15</v>
      </c>
      <c r="E14" s="21" t="str">
        <f>INDEX(Data!A8:O208,MATCH('Index &amp; Match'!A14,Data!A8:A208,0),5)</f>
        <v>North</v>
      </c>
    </row>
    <row r="15" spans="1:10" x14ac:dyDescent="0.3">
      <c r="A15" s="21" t="s">
        <v>45</v>
      </c>
      <c r="B15" s="21">
        <f>INDEX(Data!A9:O209,MATCH('Index &amp; Match'!A15,Data!A9:A209,0),10)</f>
        <v>6540.32</v>
      </c>
      <c r="C15" s="21">
        <f>INDEX(Data!A9:O209,MATCH('Index &amp; Match'!A15,Data!A9:A209,0),11)</f>
        <v>3</v>
      </c>
      <c r="D15" s="21">
        <f>INDEX(Data!A9:O209,MATCH('Index &amp; Match'!A15,Data!A9:A209,0),14)</f>
        <v>990.41</v>
      </c>
      <c r="E15" s="21" t="str">
        <f>INDEX(Data!A9:O209,MATCH('Index &amp; Match'!A15,Data!A9:A209,0),5)</f>
        <v>East</v>
      </c>
    </row>
    <row r="16" spans="1:10" x14ac:dyDescent="0.3">
      <c r="A16" s="21" t="s">
        <v>46</v>
      </c>
      <c r="B16" s="21">
        <f>INDEX(Data!A10:O210,MATCH('Index &amp; Match'!A16,Data!A10:A210,0),10)</f>
        <v>10918.37</v>
      </c>
      <c r="C16" s="21">
        <f>INDEX(Data!A10:O210,MATCH('Index &amp; Match'!A16,Data!A10:A210,0),11)</f>
        <v>4</v>
      </c>
      <c r="D16" s="21">
        <f>INDEX(Data!A10:O210,MATCH('Index &amp; Match'!A16,Data!A10:A210,0),14)</f>
        <v>4305.16</v>
      </c>
      <c r="E16" s="21" t="str">
        <f>INDEX(Data!A10:O210,MATCH('Index &amp; Match'!A16,Data!A10:A210,0),5)</f>
        <v>North</v>
      </c>
    </row>
    <row r="17" spans="1:5" x14ac:dyDescent="0.3">
      <c r="A17" s="21" t="s">
        <v>48</v>
      </c>
      <c r="B17" s="21">
        <f>INDEX(Data!A11:O211,MATCH('Index &amp; Match'!A17,Data!A11:A211,0),10)</f>
        <v>27163.21</v>
      </c>
      <c r="C17" s="21">
        <f>INDEX(Data!A11:O211,MATCH('Index &amp; Match'!A17,Data!A11:A211,0),11)</f>
        <v>10</v>
      </c>
      <c r="D17" s="21">
        <f>INDEX(Data!A11:O211,MATCH('Index &amp; Match'!A17,Data!A11:A211,0),14)</f>
        <v>10074.25</v>
      </c>
      <c r="E17" s="21" t="str">
        <f>INDEX(Data!A11:O211,MATCH('Index &amp; Match'!A17,Data!A11:A211,0),5)</f>
        <v>West</v>
      </c>
    </row>
    <row r="18" spans="1:5" x14ac:dyDescent="0.3">
      <c r="A18" s="21" t="s">
        <v>50</v>
      </c>
      <c r="B18" s="21">
        <f>INDEX(Data!A12:O212,MATCH('Index &amp; Match'!A18,Data!A12:A212,0),10)</f>
        <v>4746.18</v>
      </c>
      <c r="C18" s="21">
        <f>INDEX(Data!A12:O212,MATCH('Index &amp; Match'!A18,Data!A12:A212,0),11)</f>
        <v>11</v>
      </c>
      <c r="D18" s="21">
        <f>INDEX(Data!A12:O212,MATCH('Index &amp; Match'!A18,Data!A12:A212,0),14)</f>
        <v>1486.12</v>
      </c>
      <c r="E18" s="21" t="str">
        <f>INDEX(Data!A12:O212,MATCH('Index &amp; Match'!A18,Data!A12:A212,0),5)</f>
        <v>North</v>
      </c>
    </row>
    <row r="19" spans="1:5" x14ac:dyDescent="0.3">
      <c r="A19" s="21" t="s">
        <v>53</v>
      </c>
      <c r="B19" s="21">
        <f>INDEX(Data!A13:O213,MATCH('Index &amp; Match'!A19,Data!A13:A213,0),10)</f>
        <v>18491.32</v>
      </c>
      <c r="C19" s="21">
        <f>INDEX(Data!A13:O213,MATCH('Index &amp; Match'!A19,Data!A13:A213,0),11)</f>
        <v>9</v>
      </c>
      <c r="D19" s="21">
        <f>INDEX(Data!A13:O213,MATCH('Index &amp; Match'!A19,Data!A13:A213,0),14)</f>
        <v>4119.8599999999997</v>
      </c>
      <c r="E19" s="21" t="str">
        <f>INDEX(Data!A13:O213,MATCH('Index &amp; Match'!A19,Data!A13:A213,0),5)</f>
        <v>South</v>
      </c>
    </row>
    <row r="20" spans="1:5" x14ac:dyDescent="0.3">
      <c r="A20" s="21" t="s">
        <v>55</v>
      </c>
      <c r="B20" s="21">
        <f>INDEX(Data!A14:O214,MATCH('Index &amp; Match'!A20,Data!A14:A214,0),10)</f>
        <v>10033.93</v>
      </c>
      <c r="C20" s="21">
        <f>INDEX(Data!A14:O214,MATCH('Index &amp; Match'!A20,Data!A14:A214,0),11)</f>
        <v>1</v>
      </c>
      <c r="D20" s="21">
        <f>INDEX(Data!A14:O214,MATCH('Index &amp; Match'!A20,Data!A14:A214,0),14)</f>
        <v>4337.4799999999996</v>
      </c>
      <c r="E20" s="21" t="str">
        <f>INDEX(Data!A14:O214,MATCH('Index &amp; Match'!A20,Data!A14:A214,0),5)</f>
        <v>West</v>
      </c>
    </row>
    <row r="21" spans="1:5" x14ac:dyDescent="0.3">
      <c r="A21" s="21" t="s">
        <v>57</v>
      </c>
      <c r="B21" s="21">
        <f>INDEX(Data!A15:O215,MATCH('Index &amp; Match'!A21,Data!A15:A215,0),10)</f>
        <v>22190.58</v>
      </c>
      <c r="C21" s="21">
        <f>INDEX(Data!A15:O215,MATCH('Index &amp; Match'!A21,Data!A15:A215,0),11)</f>
        <v>6</v>
      </c>
      <c r="D21" s="21">
        <f>INDEX(Data!A15:O215,MATCH('Index &amp; Match'!A21,Data!A15:A215,0),14)</f>
        <v>7806.34</v>
      </c>
      <c r="E21" s="21" t="str">
        <f>INDEX(Data!A15:O215,MATCH('Index &amp; Match'!A21,Data!A15:A215,0),5)</f>
        <v>East</v>
      </c>
    </row>
    <row r="22" spans="1:5" x14ac:dyDescent="0.3">
      <c r="A22" s="21" t="s">
        <v>59</v>
      </c>
      <c r="B22" s="21">
        <f>INDEX(Data!A16:O216,MATCH('Index &amp; Match'!A22,Data!A16:A216,0),10)</f>
        <v>6220.59</v>
      </c>
      <c r="C22" s="21">
        <f>INDEX(Data!A16:O216,MATCH('Index &amp; Match'!A22,Data!A16:A216,0),11)</f>
        <v>11</v>
      </c>
      <c r="D22" s="21">
        <f>INDEX(Data!A16:O216,MATCH('Index &amp; Match'!A22,Data!A16:A216,0),14)</f>
        <v>1205.05</v>
      </c>
      <c r="E22" s="21" t="str">
        <f>INDEX(Data!A16:O216,MATCH('Index &amp; Match'!A22,Data!A16:A216,0),5)</f>
        <v>North</v>
      </c>
    </row>
    <row r="23" spans="1:5" x14ac:dyDescent="0.3">
      <c r="A23" s="21" t="s">
        <v>60</v>
      </c>
      <c r="B23" s="21">
        <f>INDEX(Data!A17:O217,MATCH('Index &amp; Match'!A23,Data!A17:A217,0),10)</f>
        <v>31139.48</v>
      </c>
      <c r="C23" s="21">
        <f>INDEX(Data!A17:O217,MATCH('Index &amp; Match'!A23,Data!A17:A217,0),11)</f>
        <v>5</v>
      </c>
      <c r="D23" s="21">
        <f>INDEX(Data!A17:O217,MATCH('Index &amp; Match'!A23,Data!A17:A217,0),14)</f>
        <v>9364.69</v>
      </c>
      <c r="E23" s="21" t="str">
        <f>INDEX(Data!A17:O217,MATCH('Index &amp; Match'!A23,Data!A17:A217,0),5)</f>
        <v>North</v>
      </c>
    </row>
    <row r="24" spans="1:5" x14ac:dyDescent="0.3">
      <c r="A24" s="21" t="s">
        <v>61</v>
      </c>
      <c r="B24" s="21">
        <f>INDEX(Data!A18:O218,MATCH('Index &amp; Match'!A24,Data!A18:A218,0),10)</f>
        <v>37017.370000000003</v>
      </c>
      <c r="C24" s="21">
        <f>INDEX(Data!A18:O218,MATCH('Index &amp; Match'!A24,Data!A18:A218,0),11)</f>
        <v>1</v>
      </c>
      <c r="D24" s="21">
        <f>INDEX(Data!A18:O218,MATCH('Index &amp; Match'!A24,Data!A18:A218,0),14)</f>
        <v>12134.94</v>
      </c>
      <c r="E24" s="21" t="str">
        <f>INDEX(Data!A18:O218,MATCH('Index &amp; Match'!A24,Data!A18:A218,0),5)</f>
        <v>Central</v>
      </c>
    </row>
    <row r="25" spans="1:5" x14ac:dyDescent="0.3">
      <c r="A25" s="21" t="s">
        <v>63</v>
      </c>
      <c r="B25" s="21">
        <f>INDEX(Data!A19:O219,MATCH('Index &amp; Match'!A25,Data!A19:A219,0),10)</f>
        <v>13318.88</v>
      </c>
      <c r="C25" s="21">
        <f>INDEX(Data!A19:O219,MATCH('Index &amp; Match'!A25,Data!A19:A219,0),11)</f>
        <v>3</v>
      </c>
      <c r="D25" s="21">
        <f>INDEX(Data!A19:O219,MATCH('Index &amp; Match'!A25,Data!A19:A219,0),14)</f>
        <v>2020.21</v>
      </c>
      <c r="E25" s="21" t="str">
        <f>INDEX(Data!A19:O219,MATCH('Index &amp; Match'!A25,Data!A19:A219,0),5)</f>
        <v>Central</v>
      </c>
    </row>
    <row r="26" spans="1:5" x14ac:dyDescent="0.3">
      <c r="A26" s="21" t="s">
        <v>65</v>
      </c>
      <c r="B26" s="21">
        <f>INDEX(Data!A20:O220,MATCH('Index &amp; Match'!A26,Data!A20:A220,0),10)</f>
        <v>14695.56</v>
      </c>
      <c r="C26" s="21">
        <f>INDEX(Data!A20:O220,MATCH('Index &amp; Match'!A26,Data!A20:A220,0),11)</f>
        <v>3</v>
      </c>
      <c r="D26" s="21">
        <f>INDEX(Data!A20:O220,MATCH('Index &amp; Match'!A26,Data!A20:A220,0),14)</f>
        <v>2459.94</v>
      </c>
      <c r="E26" s="21" t="str">
        <f>INDEX(Data!A20:O220,MATCH('Index &amp; Match'!A26,Data!A20:A220,0),5)</f>
        <v>West</v>
      </c>
    </row>
    <row r="27" spans="1:5" x14ac:dyDescent="0.3">
      <c r="A27" s="21" t="s">
        <v>66</v>
      </c>
      <c r="B27" s="21">
        <f>INDEX(Data!A21:O221,MATCH('Index &amp; Match'!A27,Data!A21:A221,0),10)</f>
        <v>24244.94</v>
      </c>
      <c r="C27" s="21">
        <f>INDEX(Data!A21:O221,MATCH('Index &amp; Match'!A27,Data!A21:A221,0),11)</f>
        <v>9</v>
      </c>
      <c r="D27" s="21">
        <f>INDEX(Data!A21:O221,MATCH('Index &amp; Match'!A27,Data!A21:A221,0),14)</f>
        <v>7220.56</v>
      </c>
      <c r="E27" s="21" t="str">
        <f>INDEX(Data!A21:O221,MATCH('Index &amp; Match'!A27,Data!A21:A221,0),5)</f>
        <v>South</v>
      </c>
    </row>
    <row r="28" spans="1:5" x14ac:dyDescent="0.3">
      <c r="A28" s="21" t="s">
        <v>68</v>
      </c>
      <c r="B28" s="21">
        <f>INDEX(Data!A22:O222,MATCH('Index &amp; Match'!A28,Data!A22:A222,0),10)</f>
        <v>29761.68</v>
      </c>
      <c r="C28" s="21">
        <f>INDEX(Data!A22:O222,MATCH('Index &amp; Match'!A28,Data!A22:A222,0),11)</f>
        <v>10</v>
      </c>
      <c r="D28" s="21">
        <f>INDEX(Data!A22:O222,MATCH('Index &amp; Match'!A28,Data!A22:A222,0),14)</f>
        <v>12959.7</v>
      </c>
      <c r="E28" s="21" t="str">
        <f>INDEX(Data!A22:O222,MATCH('Index &amp; Match'!A28,Data!A22:A222,0),5)</f>
        <v>East</v>
      </c>
    </row>
    <row r="29" spans="1:5" x14ac:dyDescent="0.3">
      <c r="A29" s="21" t="s">
        <v>69</v>
      </c>
      <c r="B29" s="21">
        <f>INDEX(Data!A23:O223,MATCH('Index &amp; Match'!A29,Data!A23:A223,0),10)</f>
        <v>3084.33</v>
      </c>
      <c r="C29" s="21">
        <f>INDEX(Data!A23:O223,MATCH('Index &amp; Match'!A29,Data!A23:A223,0),11)</f>
        <v>4</v>
      </c>
      <c r="D29" s="21">
        <f>INDEX(Data!A23:O223,MATCH('Index &amp; Match'!A29,Data!A23:A223,0),14)</f>
        <v>1083.68</v>
      </c>
      <c r="E29" s="21" t="str">
        <f>INDEX(Data!A23:O223,MATCH('Index &amp; Match'!A29,Data!A23:A223,0),5)</f>
        <v>Central</v>
      </c>
    </row>
    <row r="30" spans="1:5" x14ac:dyDescent="0.3">
      <c r="A30" s="21" t="s">
        <v>70</v>
      </c>
      <c r="B30" s="21">
        <f>INDEX(Data!A24:O224,MATCH('Index &amp; Match'!A30,Data!A24:A224,0),10)</f>
        <v>27251.31</v>
      </c>
      <c r="C30" s="21">
        <f>INDEX(Data!A24:O224,MATCH('Index &amp; Match'!A30,Data!A24:A224,0),11)</f>
        <v>10</v>
      </c>
      <c r="D30" s="21">
        <f>INDEX(Data!A24:O224,MATCH('Index &amp; Match'!A30,Data!A24:A224,0),14)</f>
        <v>4634.7700000000004</v>
      </c>
      <c r="E30" s="21" t="str">
        <f>INDEX(Data!A24:O224,MATCH('Index &amp; Match'!A30,Data!A24:A224,0),5)</f>
        <v>North</v>
      </c>
    </row>
    <row r="31" spans="1:5" x14ac:dyDescent="0.3">
      <c r="A31" s="21" t="s">
        <v>71</v>
      </c>
      <c r="B31" s="21">
        <f>INDEX(Data!A25:O225,MATCH('Index &amp; Match'!A31,Data!A25:A225,0),10)</f>
        <v>32718.53</v>
      </c>
      <c r="C31" s="21">
        <f>INDEX(Data!A25:O225,MATCH('Index &amp; Match'!A31,Data!A25:A225,0),11)</f>
        <v>7</v>
      </c>
      <c r="D31" s="21">
        <f>INDEX(Data!A25:O225,MATCH('Index &amp; Match'!A31,Data!A25:A225,0),14)</f>
        <v>11922.09</v>
      </c>
      <c r="E31" s="21" t="str">
        <f>INDEX(Data!A25:O225,MATCH('Index &amp; Match'!A31,Data!A25:A225,0),5)</f>
        <v>Central</v>
      </c>
    </row>
    <row r="32" spans="1:5" x14ac:dyDescent="0.3">
      <c r="A32" s="21" t="s">
        <v>72</v>
      </c>
      <c r="B32" s="21">
        <f>INDEX(Data!A26:O226,MATCH('Index &amp; Match'!A32,Data!A26:A226,0),10)</f>
        <v>31866.83</v>
      </c>
      <c r="C32" s="21">
        <f>INDEX(Data!A26:O226,MATCH('Index &amp; Match'!A32,Data!A26:A226,0),11)</f>
        <v>1</v>
      </c>
      <c r="D32" s="21">
        <f>INDEX(Data!A26:O226,MATCH('Index &amp; Match'!A32,Data!A26:A226,0),14)</f>
        <v>6457.03</v>
      </c>
      <c r="E32" s="21" t="str">
        <f>INDEX(Data!A26:O226,MATCH('Index &amp; Match'!A32,Data!A26:A226,0),5)</f>
        <v>East</v>
      </c>
    </row>
    <row r="33" spans="1:5" x14ac:dyDescent="0.3">
      <c r="A33" s="21" t="s">
        <v>73</v>
      </c>
      <c r="B33" s="21">
        <f>INDEX(Data!A27:O227,MATCH('Index &amp; Match'!A33,Data!A27:A227,0),10)</f>
        <v>17993.169999999998</v>
      </c>
      <c r="C33" s="21">
        <f>INDEX(Data!A27:O227,MATCH('Index &amp; Match'!A33,Data!A27:A227,0),11)</f>
        <v>1</v>
      </c>
      <c r="D33" s="21">
        <f>INDEX(Data!A27:O227,MATCH('Index &amp; Match'!A33,Data!A27:A227,0),14)</f>
        <v>6044.36</v>
      </c>
      <c r="E33" s="21" t="str">
        <f>INDEX(Data!A27:O227,MATCH('Index &amp; Match'!A33,Data!A27:A227,0),5)</f>
        <v>East</v>
      </c>
    </row>
    <row r="34" spans="1:5" x14ac:dyDescent="0.3">
      <c r="A34" s="21" t="s">
        <v>74</v>
      </c>
      <c r="B34" s="21">
        <f>INDEX(Data!A28:O228,MATCH('Index &amp; Match'!A34,Data!A28:A228,0),10)</f>
        <v>33052.6</v>
      </c>
      <c r="C34" s="21">
        <f>INDEX(Data!A28:O228,MATCH('Index &amp; Match'!A34,Data!A28:A228,0),11)</f>
        <v>10</v>
      </c>
      <c r="D34" s="21">
        <f>INDEX(Data!A28:O228,MATCH('Index &amp; Match'!A34,Data!A28:A228,0),14)</f>
        <v>8400.74</v>
      </c>
      <c r="E34" s="21" t="str">
        <f>INDEX(Data!A28:O228,MATCH('Index &amp; Match'!A34,Data!A28:A228,0),5)</f>
        <v>North</v>
      </c>
    </row>
    <row r="35" spans="1:5" x14ac:dyDescent="0.3">
      <c r="A35" s="21" t="s">
        <v>75</v>
      </c>
      <c r="B35" s="21">
        <f>INDEX(Data!A29:O229,MATCH('Index &amp; Match'!A35,Data!A29:A229,0),10)</f>
        <v>22245.41</v>
      </c>
      <c r="C35" s="21">
        <f>INDEX(Data!A29:O229,MATCH('Index &amp; Match'!A35,Data!A29:A229,0),11)</f>
        <v>10</v>
      </c>
      <c r="D35" s="21">
        <f>INDEX(Data!A29:O229,MATCH('Index &amp; Match'!A35,Data!A29:A229,0),14)</f>
        <v>7739.13</v>
      </c>
      <c r="E35" s="21" t="str">
        <f>INDEX(Data!A29:O229,MATCH('Index &amp; Match'!A35,Data!A29:A229,0),5)</f>
        <v>West</v>
      </c>
    </row>
    <row r="36" spans="1:5" x14ac:dyDescent="0.3">
      <c r="A36" s="21" t="s">
        <v>76</v>
      </c>
      <c r="B36" s="21">
        <f>INDEX(Data!A30:O230,MATCH('Index &amp; Match'!A36,Data!A30:A230,0),10)</f>
        <v>8119.62</v>
      </c>
      <c r="C36" s="21">
        <f>INDEX(Data!A30:O230,MATCH('Index &amp; Match'!A36,Data!A30:A230,0),11)</f>
        <v>1</v>
      </c>
      <c r="D36" s="21">
        <f>INDEX(Data!A30:O230,MATCH('Index &amp; Match'!A36,Data!A30:A230,0),14)</f>
        <v>3431.09</v>
      </c>
      <c r="E36" s="21" t="str">
        <f>INDEX(Data!A30:O230,MATCH('Index &amp; Match'!A36,Data!A30:A230,0),5)</f>
        <v>South</v>
      </c>
    </row>
    <row r="37" spans="1:5" x14ac:dyDescent="0.3">
      <c r="A37" s="21" t="s">
        <v>77</v>
      </c>
      <c r="B37" s="21">
        <f>INDEX(Data!A31:O231,MATCH('Index &amp; Match'!A37,Data!A31:A231,0),10)</f>
        <v>12000.88</v>
      </c>
      <c r="C37" s="21">
        <f>INDEX(Data!A31:O231,MATCH('Index &amp; Match'!A37,Data!A31:A231,0),11)</f>
        <v>6</v>
      </c>
      <c r="D37" s="21">
        <f>INDEX(Data!A31:O231,MATCH('Index &amp; Match'!A37,Data!A31:A231,0),14)</f>
        <v>4913.43</v>
      </c>
      <c r="E37" s="21" t="str">
        <f>INDEX(Data!A31:O231,MATCH('Index &amp; Match'!A37,Data!A31:A231,0),5)</f>
        <v>North</v>
      </c>
    </row>
    <row r="38" spans="1:5" x14ac:dyDescent="0.3">
      <c r="A38" s="21" t="s">
        <v>78</v>
      </c>
      <c r="B38" s="21">
        <f>INDEX(Data!A32:O232,MATCH('Index &amp; Match'!A38,Data!A32:A232,0),10)</f>
        <v>24035.25</v>
      </c>
      <c r="C38" s="21">
        <f>INDEX(Data!A32:O232,MATCH('Index &amp; Match'!A38,Data!A32:A232,0),11)</f>
        <v>11</v>
      </c>
      <c r="D38" s="21">
        <f>INDEX(Data!A32:O232,MATCH('Index &amp; Match'!A38,Data!A32:A232,0),14)</f>
        <v>5919.03</v>
      </c>
      <c r="E38" s="21" t="str">
        <f>INDEX(Data!A32:O232,MATCH('Index &amp; Match'!A38,Data!A32:A232,0),5)</f>
        <v>West</v>
      </c>
    </row>
    <row r="39" spans="1:5" x14ac:dyDescent="0.3">
      <c r="A39" s="21" t="s">
        <v>79</v>
      </c>
      <c r="B39" s="21">
        <f>INDEX(Data!A33:O233,MATCH('Index &amp; Match'!A39,Data!A33:A233,0),10)</f>
        <v>22457.01</v>
      </c>
      <c r="C39" s="21">
        <f>INDEX(Data!A33:O233,MATCH('Index &amp; Match'!A39,Data!A33:A233,0),11)</f>
        <v>7</v>
      </c>
      <c r="D39" s="21">
        <f>INDEX(Data!A33:O233,MATCH('Index &amp; Match'!A39,Data!A33:A233,0),14)</f>
        <v>7207.26</v>
      </c>
      <c r="E39" s="21" t="str">
        <f>INDEX(Data!A33:O233,MATCH('Index &amp; Match'!A39,Data!A33:A233,0),5)</f>
        <v>South</v>
      </c>
    </row>
    <row r="40" spans="1:5" x14ac:dyDescent="0.3">
      <c r="A40" s="21" t="s">
        <v>80</v>
      </c>
      <c r="B40" s="21">
        <f>INDEX(Data!A34:O234,MATCH('Index &amp; Match'!A40,Data!A34:A234,0),10)</f>
        <v>32245</v>
      </c>
      <c r="C40" s="21">
        <f>INDEX(Data!A34:O234,MATCH('Index &amp; Match'!A40,Data!A34:A234,0),11)</f>
        <v>4</v>
      </c>
      <c r="D40" s="21">
        <f>INDEX(Data!A34:O234,MATCH('Index &amp; Match'!A40,Data!A34:A234,0),14)</f>
        <v>11028.84</v>
      </c>
      <c r="E40" s="21" t="str">
        <f>INDEX(Data!A34:O234,MATCH('Index &amp; Match'!A40,Data!A34:A234,0),5)</f>
        <v>East</v>
      </c>
    </row>
    <row r="41" spans="1:5" x14ac:dyDescent="0.3">
      <c r="A41" s="21" t="s">
        <v>81</v>
      </c>
      <c r="B41" s="21">
        <f>INDEX(Data!A35:O235,MATCH('Index &amp; Match'!A41,Data!A35:A235,0),10)</f>
        <v>28823.82</v>
      </c>
      <c r="C41" s="21">
        <f>INDEX(Data!A35:O235,MATCH('Index &amp; Match'!A41,Data!A35:A235,0),11)</f>
        <v>6</v>
      </c>
      <c r="D41" s="21">
        <f>INDEX(Data!A35:O235,MATCH('Index &amp; Match'!A41,Data!A35:A235,0),14)</f>
        <v>6174.03</v>
      </c>
      <c r="E41" s="21" t="str">
        <f>INDEX(Data!A35:O235,MATCH('Index &amp; Match'!A41,Data!A35:A235,0),5)</f>
        <v>North</v>
      </c>
    </row>
    <row r="42" spans="1:5" x14ac:dyDescent="0.3">
      <c r="A42" s="21" t="s">
        <v>82</v>
      </c>
      <c r="B42" s="21">
        <f>INDEX(Data!A36:O236,MATCH('Index &amp; Match'!A42,Data!A36:A236,0),10)</f>
        <v>9151.9599999999991</v>
      </c>
      <c r="C42" s="21">
        <f>INDEX(Data!A36:O236,MATCH('Index &amp; Match'!A42,Data!A36:A236,0),11)</f>
        <v>3</v>
      </c>
      <c r="D42" s="21">
        <f>INDEX(Data!A36:O236,MATCH('Index &amp; Match'!A42,Data!A36:A236,0),14)</f>
        <v>2692.39</v>
      </c>
      <c r="E42" s="21" t="str">
        <f>INDEX(Data!A36:O236,MATCH('Index &amp; Match'!A42,Data!A36:A236,0),5)</f>
        <v>South</v>
      </c>
    </row>
    <row r="43" spans="1:5" x14ac:dyDescent="0.3">
      <c r="A43" s="21" t="s">
        <v>84</v>
      </c>
      <c r="B43" s="21">
        <f>INDEX(Data!A37:O237,MATCH('Index &amp; Match'!A43,Data!A37:A237,0),10)</f>
        <v>16377.54</v>
      </c>
      <c r="C43" s="21">
        <f>INDEX(Data!A37:O237,MATCH('Index &amp; Match'!A43,Data!A37:A237,0),11)</f>
        <v>10</v>
      </c>
      <c r="D43" s="21">
        <f>INDEX(Data!A37:O237,MATCH('Index &amp; Match'!A43,Data!A37:A237,0),14)</f>
        <v>5071.3</v>
      </c>
      <c r="E43" s="21" t="str">
        <f>INDEX(Data!A37:O237,MATCH('Index &amp; Match'!A43,Data!A37:A237,0),5)</f>
        <v>West</v>
      </c>
    </row>
    <row r="44" spans="1:5" x14ac:dyDescent="0.3">
      <c r="A44" s="21" t="s">
        <v>85</v>
      </c>
      <c r="B44" s="21">
        <f>INDEX(Data!A38:O238,MATCH('Index &amp; Match'!A44,Data!A38:A238,0),10)</f>
        <v>31300.51</v>
      </c>
      <c r="C44" s="21">
        <f>INDEX(Data!A38:O238,MATCH('Index &amp; Match'!A44,Data!A38:A238,0),11)</f>
        <v>4</v>
      </c>
      <c r="D44" s="21">
        <f>INDEX(Data!A38:O238,MATCH('Index &amp; Match'!A44,Data!A38:A238,0),14)</f>
        <v>5729.16</v>
      </c>
      <c r="E44" s="21" t="str">
        <f>INDEX(Data!A38:O238,MATCH('Index &amp; Match'!A44,Data!A38:A238,0),5)</f>
        <v>West</v>
      </c>
    </row>
    <row r="45" spans="1:5" x14ac:dyDescent="0.3">
      <c r="A45" s="21" t="s">
        <v>86</v>
      </c>
      <c r="B45" s="21">
        <f>INDEX(Data!A39:O239,MATCH('Index &amp; Match'!A45,Data!A39:A239,0),10)</f>
        <v>18758.23</v>
      </c>
      <c r="C45" s="21">
        <f>INDEX(Data!A39:O239,MATCH('Index &amp; Match'!A45,Data!A39:A239,0),11)</f>
        <v>5</v>
      </c>
      <c r="D45" s="21">
        <f>INDEX(Data!A39:O239,MATCH('Index &amp; Match'!A45,Data!A39:A239,0),14)</f>
        <v>6345.96</v>
      </c>
      <c r="E45" s="21" t="str">
        <f>INDEX(Data!A39:O239,MATCH('Index &amp; Match'!A45,Data!A39:A239,0),5)</f>
        <v>Central</v>
      </c>
    </row>
    <row r="46" spans="1:5" x14ac:dyDescent="0.3">
      <c r="A46" s="21" t="s">
        <v>87</v>
      </c>
      <c r="B46" s="21">
        <f>INDEX(Data!A40:O240,MATCH('Index &amp; Match'!A46,Data!A40:A240,0),10)</f>
        <v>9621.19</v>
      </c>
      <c r="C46" s="21">
        <f>INDEX(Data!A40:O240,MATCH('Index &amp; Match'!A46,Data!A40:A240,0),11)</f>
        <v>6</v>
      </c>
      <c r="D46" s="21">
        <f>INDEX(Data!A40:O240,MATCH('Index &amp; Match'!A46,Data!A40:A240,0),14)</f>
        <v>2396.98</v>
      </c>
      <c r="E46" s="21" t="str">
        <f>INDEX(Data!A40:O240,MATCH('Index &amp; Match'!A46,Data!A40:A240,0),5)</f>
        <v>West</v>
      </c>
    </row>
    <row r="47" spans="1:5" x14ac:dyDescent="0.3">
      <c r="A47" s="21" t="s">
        <v>88</v>
      </c>
      <c r="B47" s="21">
        <f>INDEX(Data!A41:O241,MATCH('Index &amp; Match'!A47,Data!A41:A241,0),10)</f>
        <v>37534.11</v>
      </c>
      <c r="C47" s="21">
        <f>INDEX(Data!A41:O241,MATCH('Index &amp; Match'!A47,Data!A41:A241,0),11)</f>
        <v>1</v>
      </c>
      <c r="D47" s="21">
        <f>INDEX(Data!A41:O241,MATCH('Index &amp; Match'!A47,Data!A41:A241,0),14)</f>
        <v>15801.93</v>
      </c>
      <c r="E47" s="21" t="str">
        <f>INDEX(Data!A41:O241,MATCH('Index &amp; Match'!A47,Data!A41:A241,0),5)</f>
        <v>South</v>
      </c>
    </row>
    <row r="48" spans="1:5" x14ac:dyDescent="0.3">
      <c r="A48" s="21" t="s">
        <v>89</v>
      </c>
      <c r="B48" s="21">
        <f>INDEX(Data!A42:O242,MATCH('Index &amp; Match'!A48,Data!A42:A242,0),10)</f>
        <v>18403.759999999998</v>
      </c>
      <c r="C48" s="21">
        <f>INDEX(Data!A42:O242,MATCH('Index &amp; Match'!A48,Data!A42:A242,0),11)</f>
        <v>6</v>
      </c>
      <c r="D48" s="21">
        <f>INDEX(Data!A42:O242,MATCH('Index &amp; Match'!A48,Data!A42:A242,0),14)</f>
        <v>5602.54</v>
      </c>
      <c r="E48" s="21" t="str">
        <f>INDEX(Data!A42:O242,MATCH('Index &amp; Match'!A48,Data!A42:A242,0),5)</f>
        <v>Central</v>
      </c>
    </row>
    <row r="49" spans="1:5" x14ac:dyDescent="0.3">
      <c r="A49" s="21" t="s">
        <v>90</v>
      </c>
      <c r="B49" s="21">
        <f>INDEX(Data!A43:O243,MATCH('Index &amp; Match'!A49,Data!A43:A243,0),10)</f>
        <v>12902.1</v>
      </c>
      <c r="C49" s="21">
        <f>INDEX(Data!A43:O243,MATCH('Index &amp; Match'!A49,Data!A43:A243,0),11)</f>
        <v>8</v>
      </c>
      <c r="D49" s="21">
        <f>INDEX(Data!A43:O243,MATCH('Index &amp; Match'!A49,Data!A43:A243,0),14)</f>
        <v>4348.3599999999997</v>
      </c>
      <c r="E49" s="21" t="str">
        <f>INDEX(Data!A43:O243,MATCH('Index &amp; Match'!A49,Data!A43:A243,0),5)</f>
        <v>West</v>
      </c>
    </row>
    <row r="50" spans="1:5" x14ac:dyDescent="0.3">
      <c r="A50" s="21" t="s">
        <v>91</v>
      </c>
      <c r="B50" s="21">
        <f>INDEX(Data!A44:O244,MATCH('Index &amp; Match'!A50,Data!A44:A244,0),10)</f>
        <v>20841.32</v>
      </c>
      <c r="C50" s="21">
        <f>INDEX(Data!A44:O244,MATCH('Index &amp; Match'!A50,Data!A44:A244,0),11)</f>
        <v>6</v>
      </c>
      <c r="D50" s="21">
        <f>INDEX(Data!A44:O244,MATCH('Index &amp; Match'!A50,Data!A44:A244,0),14)</f>
        <v>7063.37</v>
      </c>
      <c r="E50" s="21" t="str">
        <f>INDEX(Data!A44:O244,MATCH('Index &amp; Match'!A50,Data!A44:A244,0),5)</f>
        <v>Central</v>
      </c>
    </row>
    <row r="51" spans="1:5" x14ac:dyDescent="0.3">
      <c r="A51" s="21" t="s">
        <v>92</v>
      </c>
      <c r="B51" s="21">
        <f>INDEX(Data!A45:O245,MATCH('Index &amp; Match'!A51,Data!A45:A245,0),10)</f>
        <v>12596</v>
      </c>
      <c r="C51" s="21">
        <f>INDEX(Data!A45:O245,MATCH('Index &amp; Match'!A51,Data!A45:A245,0),11)</f>
        <v>7</v>
      </c>
      <c r="D51" s="21">
        <f>INDEX(Data!A45:O245,MATCH('Index &amp; Match'!A51,Data!A45:A245,0),14)</f>
        <v>2124.71</v>
      </c>
      <c r="E51" s="21" t="str">
        <f>INDEX(Data!A45:O245,MATCH('Index &amp; Match'!A51,Data!A45:A245,0),5)</f>
        <v>North</v>
      </c>
    </row>
    <row r="52" spans="1:5" x14ac:dyDescent="0.3">
      <c r="A52" s="21" t="s">
        <v>93</v>
      </c>
      <c r="B52" s="21">
        <f>INDEX(Data!A46:O246,MATCH('Index &amp; Match'!A52,Data!A46:A246,0),10)</f>
        <v>11399.04</v>
      </c>
      <c r="C52" s="21">
        <f>INDEX(Data!A46:O246,MATCH('Index &amp; Match'!A52,Data!A46:A246,0),11)</f>
        <v>8</v>
      </c>
      <c r="D52" s="21">
        <f>INDEX(Data!A46:O246,MATCH('Index &amp; Match'!A52,Data!A46:A246,0),14)</f>
        <v>2735.15</v>
      </c>
      <c r="E52" s="21" t="str">
        <f>INDEX(Data!A46:O246,MATCH('Index &amp; Match'!A52,Data!A46:A246,0),5)</f>
        <v>South</v>
      </c>
    </row>
    <row r="53" spans="1:5" x14ac:dyDescent="0.3">
      <c r="A53" s="21" t="s">
        <v>94</v>
      </c>
      <c r="B53" s="21">
        <f>INDEX(Data!A47:O247,MATCH('Index &amp; Match'!A53,Data!A47:A247,0),10)</f>
        <v>26732.05</v>
      </c>
      <c r="C53" s="21">
        <f>INDEX(Data!A47:O247,MATCH('Index &amp; Match'!A53,Data!A47:A247,0),11)</f>
        <v>6</v>
      </c>
      <c r="D53" s="21">
        <f>INDEX(Data!A47:O247,MATCH('Index &amp; Match'!A53,Data!A47:A247,0),14)</f>
        <v>11514.47</v>
      </c>
      <c r="E53" s="21" t="str">
        <f>INDEX(Data!A47:O247,MATCH('Index &amp; Match'!A53,Data!A47:A247,0),5)</f>
        <v>East</v>
      </c>
    </row>
    <row r="54" spans="1:5" x14ac:dyDescent="0.3">
      <c r="A54" s="21" t="s">
        <v>95</v>
      </c>
      <c r="B54" s="21">
        <f>INDEX(Data!A48:O248,MATCH('Index &amp; Match'!A54,Data!A48:A248,0),10)</f>
        <v>31973.15</v>
      </c>
      <c r="C54" s="21">
        <f>INDEX(Data!A48:O248,MATCH('Index &amp; Match'!A54,Data!A48:A248,0),11)</f>
        <v>4</v>
      </c>
      <c r="D54" s="21">
        <f>INDEX(Data!A48:O248,MATCH('Index &amp; Match'!A54,Data!A48:A248,0),14)</f>
        <v>6324.66</v>
      </c>
      <c r="E54" s="21" t="str">
        <f>INDEX(Data!A48:O248,MATCH('Index &amp; Match'!A54,Data!A48:A248,0),5)</f>
        <v>East</v>
      </c>
    </row>
    <row r="55" spans="1:5" x14ac:dyDescent="0.3">
      <c r="A55" s="21" t="s">
        <v>96</v>
      </c>
      <c r="B55" s="21">
        <f>INDEX(Data!A49:O249,MATCH('Index &amp; Match'!A55,Data!A49:A249,0),10)</f>
        <v>16826.2</v>
      </c>
      <c r="C55" s="21">
        <f>INDEX(Data!A49:O249,MATCH('Index &amp; Match'!A55,Data!A49:A249,0),11)</f>
        <v>4</v>
      </c>
      <c r="D55" s="21">
        <f>INDEX(Data!A49:O249,MATCH('Index &amp; Match'!A55,Data!A49:A249,0),14)</f>
        <v>3234.36</v>
      </c>
      <c r="E55" s="21" t="str">
        <f>INDEX(Data!A49:O249,MATCH('Index &amp; Match'!A55,Data!A49:A249,0),5)</f>
        <v>North</v>
      </c>
    </row>
    <row r="56" spans="1:5" x14ac:dyDescent="0.3">
      <c r="A56" s="21" t="s">
        <v>97</v>
      </c>
      <c r="B56" s="21">
        <f>INDEX(Data!A50:O250,MATCH('Index &amp; Match'!A56,Data!A50:A250,0),10)</f>
        <v>7108.85</v>
      </c>
      <c r="C56" s="21">
        <f>INDEX(Data!A50:O250,MATCH('Index &amp; Match'!A56,Data!A50:A250,0),11)</f>
        <v>10</v>
      </c>
      <c r="D56" s="21">
        <f>INDEX(Data!A50:O250,MATCH('Index &amp; Match'!A56,Data!A50:A250,0),14)</f>
        <v>3028.49</v>
      </c>
      <c r="E56" s="21" t="str">
        <f>INDEX(Data!A50:O250,MATCH('Index &amp; Match'!A56,Data!A50:A250,0),5)</f>
        <v>Central</v>
      </c>
    </row>
    <row r="57" spans="1:5" x14ac:dyDescent="0.3">
      <c r="A57" s="21" t="s">
        <v>98</v>
      </c>
      <c r="B57" s="21">
        <f>INDEX(Data!A51:O251,MATCH('Index &amp; Match'!A57,Data!A51:A251,0),10)</f>
        <v>19451.18</v>
      </c>
      <c r="C57" s="21">
        <f>INDEX(Data!A51:O251,MATCH('Index &amp; Match'!A57,Data!A51:A251,0),11)</f>
        <v>11</v>
      </c>
      <c r="D57" s="21">
        <f>INDEX(Data!A51:O251,MATCH('Index &amp; Match'!A57,Data!A51:A251,0),14)</f>
        <v>6397.15</v>
      </c>
      <c r="E57" s="21" t="str">
        <f>INDEX(Data!A51:O251,MATCH('Index &amp; Match'!A57,Data!A51:A251,0),5)</f>
        <v>West</v>
      </c>
    </row>
    <row r="58" spans="1:5" x14ac:dyDescent="0.3">
      <c r="A58" s="21" t="s">
        <v>99</v>
      </c>
      <c r="B58" s="21">
        <f>INDEX(Data!A52:O252,MATCH('Index &amp; Match'!A58,Data!A52:A252,0),10)</f>
        <v>16542.75</v>
      </c>
      <c r="C58" s="21">
        <f>INDEX(Data!A52:O252,MATCH('Index &amp; Match'!A58,Data!A52:A252,0),11)</f>
        <v>7</v>
      </c>
      <c r="D58" s="21">
        <f>INDEX(Data!A52:O252,MATCH('Index &amp; Match'!A58,Data!A52:A252,0),14)</f>
        <v>6658.43</v>
      </c>
      <c r="E58" s="21" t="str">
        <f>INDEX(Data!A52:O252,MATCH('Index &amp; Match'!A58,Data!A52:A252,0),5)</f>
        <v>South</v>
      </c>
    </row>
    <row r="59" spans="1:5" x14ac:dyDescent="0.3">
      <c r="A59" s="21" t="s">
        <v>100</v>
      </c>
      <c r="B59" s="21">
        <f>INDEX(Data!A53:O253,MATCH('Index &amp; Match'!A59,Data!A53:A253,0),10)</f>
        <v>17879.88</v>
      </c>
      <c r="C59" s="21">
        <f>INDEX(Data!A53:O253,MATCH('Index &amp; Match'!A59,Data!A53:A253,0),11)</f>
        <v>10</v>
      </c>
      <c r="D59" s="21">
        <f>INDEX(Data!A53:O253,MATCH('Index &amp; Match'!A59,Data!A53:A253,0),14)</f>
        <v>6192.81</v>
      </c>
      <c r="E59" s="21" t="str">
        <f>INDEX(Data!A53:O253,MATCH('Index &amp; Match'!A59,Data!A53:A253,0),5)</f>
        <v>North</v>
      </c>
    </row>
    <row r="60" spans="1:5" x14ac:dyDescent="0.3">
      <c r="A60" s="21" t="s">
        <v>101</v>
      </c>
      <c r="B60" s="21">
        <f>INDEX(Data!A54:O254,MATCH('Index &amp; Match'!A60,Data!A54:A254,0),10)</f>
        <v>10203.14</v>
      </c>
      <c r="C60" s="21">
        <f>INDEX(Data!A54:O254,MATCH('Index &amp; Match'!A60,Data!A54:A254,0),11)</f>
        <v>5</v>
      </c>
      <c r="D60" s="21">
        <f>INDEX(Data!A54:O254,MATCH('Index &amp; Match'!A60,Data!A54:A254,0),14)</f>
        <v>4589.43</v>
      </c>
      <c r="E60" s="21" t="str">
        <f>INDEX(Data!A54:O254,MATCH('Index &amp; Match'!A60,Data!A54:A254,0),5)</f>
        <v>Central</v>
      </c>
    </row>
    <row r="61" spans="1:5" x14ac:dyDescent="0.3">
      <c r="A61" s="21" t="s">
        <v>102</v>
      </c>
      <c r="B61" s="21">
        <f>INDEX(Data!A55:O255,MATCH('Index &amp; Match'!A61,Data!A55:A255,0),10)</f>
        <v>30968.22</v>
      </c>
      <c r="C61" s="21">
        <f>INDEX(Data!A55:O255,MATCH('Index &amp; Match'!A61,Data!A55:A255,0),11)</f>
        <v>8</v>
      </c>
      <c r="D61" s="21">
        <f>INDEX(Data!A55:O255,MATCH('Index &amp; Match'!A61,Data!A55:A255,0),14)</f>
        <v>8217.0400000000009</v>
      </c>
      <c r="E61" s="21" t="str">
        <f>INDEX(Data!A55:O255,MATCH('Index &amp; Match'!A61,Data!A55:A255,0),5)</f>
        <v>South</v>
      </c>
    </row>
    <row r="62" spans="1:5" x14ac:dyDescent="0.3">
      <c r="A62" s="21" t="s">
        <v>103</v>
      </c>
      <c r="B62" s="21">
        <f>INDEX(Data!A56:O256,MATCH('Index &amp; Match'!A62,Data!A56:A256,0),10)</f>
        <v>8727.32</v>
      </c>
      <c r="C62" s="21">
        <f>INDEX(Data!A56:O256,MATCH('Index &amp; Match'!A62,Data!A56:A256,0),11)</f>
        <v>3</v>
      </c>
      <c r="D62" s="21">
        <f>INDEX(Data!A56:O256,MATCH('Index &amp; Match'!A62,Data!A56:A256,0),14)</f>
        <v>3376.25</v>
      </c>
      <c r="E62" s="21" t="str">
        <f>INDEX(Data!A56:O256,MATCH('Index &amp; Match'!A62,Data!A56:A256,0),5)</f>
        <v>North</v>
      </c>
    </row>
    <row r="63" spans="1:5" x14ac:dyDescent="0.3">
      <c r="A63" s="21" t="s">
        <v>104</v>
      </c>
      <c r="B63" s="21">
        <f>INDEX(Data!A57:O257,MATCH('Index &amp; Match'!A63,Data!A57:A257,0),10)</f>
        <v>2314.94</v>
      </c>
      <c r="C63" s="21">
        <f>INDEX(Data!A57:O257,MATCH('Index &amp; Match'!A63,Data!A57:A257,0),11)</f>
        <v>8</v>
      </c>
      <c r="D63" s="21">
        <f>INDEX(Data!A57:O257,MATCH('Index &amp; Match'!A63,Data!A57:A257,0),14)</f>
        <v>471.69</v>
      </c>
      <c r="E63" s="21" t="str">
        <f>INDEX(Data!A57:O257,MATCH('Index &amp; Match'!A63,Data!A57:A257,0),5)</f>
        <v>East</v>
      </c>
    </row>
    <row r="64" spans="1:5" x14ac:dyDescent="0.3">
      <c r="A64" s="21" t="s">
        <v>105</v>
      </c>
      <c r="B64" s="21">
        <f>INDEX(Data!A58:O258,MATCH('Index &amp; Match'!A64,Data!A58:A258,0),10)</f>
        <v>28244.45</v>
      </c>
      <c r="C64" s="21">
        <f>INDEX(Data!A58:O258,MATCH('Index &amp; Match'!A64,Data!A58:A258,0),11)</f>
        <v>9</v>
      </c>
      <c r="D64" s="21">
        <f>INDEX(Data!A58:O258,MATCH('Index &amp; Match'!A64,Data!A58:A258,0),14)</f>
        <v>4623.13</v>
      </c>
      <c r="E64" s="21" t="str">
        <f>INDEX(Data!A58:O258,MATCH('Index &amp; Match'!A64,Data!A58:A258,0),5)</f>
        <v>Central</v>
      </c>
    </row>
    <row r="65" spans="1:5" x14ac:dyDescent="0.3">
      <c r="A65" s="21" t="s">
        <v>106</v>
      </c>
      <c r="B65" s="21">
        <f>INDEX(Data!A59:O259,MATCH('Index &amp; Match'!A65,Data!A59:A259,0),10)</f>
        <v>29906.04</v>
      </c>
      <c r="C65" s="21">
        <f>INDEX(Data!A59:O259,MATCH('Index &amp; Match'!A65,Data!A59:A259,0),11)</f>
        <v>1</v>
      </c>
      <c r="D65" s="21">
        <f>INDEX(Data!A59:O259,MATCH('Index &amp; Match'!A65,Data!A59:A259,0),14)</f>
        <v>11246.36</v>
      </c>
      <c r="E65" s="21" t="str">
        <f>INDEX(Data!A59:O259,MATCH('Index &amp; Match'!A65,Data!A59:A259,0),5)</f>
        <v>Central</v>
      </c>
    </row>
    <row r="66" spans="1:5" x14ac:dyDescent="0.3">
      <c r="A66" s="21" t="s">
        <v>107</v>
      </c>
      <c r="B66" s="21">
        <f>INDEX(Data!A60:O260,MATCH('Index &amp; Match'!A66,Data!A60:A260,0),10)</f>
        <v>10159.370000000001</v>
      </c>
      <c r="C66" s="21">
        <f>INDEX(Data!A60:O260,MATCH('Index &amp; Match'!A66,Data!A60:A260,0),11)</f>
        <v>11</v>
      </c>
      <c r="D66" s="21">
        <f>INDEX(Data!A60:O260,MATCH('Index &amp; Match'!A66,Data!A60:A260,0),14)</f>
        <v>1688.4</v>
      </c>
      <c r="E66" s="21" t="str">
        <f>INDEX(Data!A60:O260,MATCH('Index &amp; Match'!A66,Data!A60:A260,0),5)</f>
        <v>Central</v>
      </c>
    </row>
    <row r="67" spans="1:5" x14ac:dyDescent="0.3">
      <c r="A67" s="21" t="s">
        <v>108</v>
      </c>
      <c r="B67" s="21">
        <f>INDEX(Data!A61:O261,MATCH('Index &amp; Match'!A67,Data!A61:A261,0),10)</f>
        <v>7597.51</v>
      </c>
      <c r="C67" s="21">
        <f>INDEX(Data!A61:O261,MATCH('Index &amp; Match'!A67,Data!A61:A261,0),11)</f>
        <v>3</v>
      </c>
      <c r="D67" s="21">
        <f>INDEX(Data!A61:O261,MATCH('Index &amp; Match'!A67,Data!A61:A261,0),14)</f>
        <v>1807.39</v>
      </c>
      <c r="E67" s="21" t="str">
        <f>INDEX(Data!A61:O261,MATCH('Index &amp; Match'!A67,Data!A61:A261,0),5)</f>
        <v>Central</v>
      </c>
    </row>
    <row r="68" spans="1:5" x14ac:dyDescent="0.3">
      <c r="A68" s="21" t="s">
        <v>109</v>
      </c>
      <c r="B68" s="21">
        <f>INDEX(Data!A62:O262,MATCH('Index &amp; Match'!A68,Data!A62:A262,0),10)</f>
        <v>23556.83</v>
      </c>
      <c r="C68" s="21">
        <f>INDEX(Data!A62:O262,MATCH('Index &amp; Match'!A68,Data!A62:A262,0),11)</f>
        <v>9</v>
      </c>
      <c r="D68" s="21">
        <f>INDEX(Data!A62:O262,MATCH('Index &amp; Match'!A68,Data!A62:A262,0),14)</f>
        <v>5004.01</v>
      </c>
      <c r="E68" s="21" t="str">
        <f>INDEX(Data!A62:O262,MATCH('Index &amp; Match'!A68,Data!A62:A262,0),5)</f>
        <v>West</v>
      </c>
    </row>
    <row r="69" spans="1:5" x14ac:dyDescent="0.3">
      <c r="A69" s="21" t="s">
        <v>110</v>
      </c>
      <c r="B69" s="21">
        <f>INDEX(Data!A63:O263,MATCH('Index &amp; Match'!A69,Data!A63:A263,0),10)</f>
        <v>36849.51</v>
      </c>
      <c r="C69" s="21">
        <f>INDEX(Data!A63:O263,MATCH('Index &amp; Match'!A69,Data!A63:A263,0),11)</f>
        <v>3</v>
      </c>
      <c r="D69" s="21">
        <f>INDEX(Data!A63:O263,MATCH('Index &amp; Match'!A69,Data!A63:A263,0),14)</f>
        <v>9646.43</v>
      </c>
      <c r="E69" s="21" t="str">
        <f>INDEX(Data!A63:O263,MATCH('Index &amp; Match'!A69,Data!A63:A263,0),5)</f>
        <v>South</v>
      </c>
    </row>
    <row r="70" spans="1:5" x14ac:dyDescent="0.3">
      <c r="A70" s="21" t="s">
        <v>111</v>
      </c>
      <c r="B70" s="21">
        <f>INDEX(Data!A64:O264,MATCH('Index &amp; Match'!A70,Data!A64:A264,0),10)</f>
        <v>10756.15</v>
      </c>
      <c r="C70" s="21">
        <f>INDEX(Data!A64:O264,MATCH('Index &amp; Match'!A70,Data!A64:A264,0),11)</f>
        <v>3</v>
      </c>
      <c r="D70" s="21">
        <f>INDEX(Data!A64:O264,MATCH('Index &amp; Match'!A70,Data!A64:A264,0),14)</f>
        <v>2614.19</v>
      </c>
      <c r="E70" s="21" t="str">
        <f>INDEX(Data!A64:O264,MATCH('Index &amp; Match'!A70,Data!A64:A264,0),5)</f>
        <v>East</v>
      </c>
    </row>
    <row r="71" spans="1:5" x14ac:dyDescent="0.3">
      <c r="A71" s="21" t="s">
        <v>112</v>
      </c>
      <c r="B71" s="21">
        <f>INDEX(Data!A65:O265,MATCH('Index &amp; Match'!A71,Data!A65:A265,0),10)</f>
        <v>21968.16</v>
      </c>
      <c r="C71" s="21">
        <f>INDEX(Data!A65:O265,MATCH('Index &amp; Match'!A71,Data!A65:A265,0),11)</f>
        <v>1</v>
      </c>
      <c r="D71" s="21">
        <f>INDEX(Data!A65:O265,MATCH('Index &amp; Match'!A71,Data!A65:A265,0),14)</f>
        <v>5895.13</v>
      </c>
      <c r="E71" s="21" t="str">
        <f>INDEX(Data!A65:O265,MATCH('Index &amp; Match'!A71,Data!A65:A265,0),5)</f>
        <v>North</v>
      </c>
    </row>
    <row r="72" spans="1:5" x14ac:dyDescent="0.3">
      <c r="A72" s="21" t="s">
        <v>113</v>
      </c>
      <c r="B72" s="21">
        <f>INDEX(Data!A66:O266,MATCH('Index &amp; Match'!A72,Data!A66:A266,0),10)</f>
        <v>11163.63</v>
      </c>
      <c r="C72" s="21">
        <f>INDEX(Data!A66:O266,MATCH('Index &amp; Match'!A72,Data!A66:A266,0),11)</f>
        <v>8</v>
      </c>
      <c r="D72" s="21">
        <f>INDEX(Data!A66:O266,MATCH('Index &amp; Match'!A72,Data!A66:A266,0),14)</f>
        <v>2703.05</v>
      </c>
      <c r="E72" s="21" t="str">
        <f>INDEX(Data!A66:O266,MATCH('Index &amp; Match'!A72,Data!A66:A266,0),5)</f>
        <v>East</v>
      </c>
    </row>
    <row r="73" spans="1:5" x14ac:dyDescent="0.3">
      <c r="A73" s="21" t="s">
        <v>114</v>
      </c>
      <c r="B73" s="21">
        <f>INDEX(Data!A67:O267,MATCH('Index &amp; Match'!A73,Data!A67:A267,0),10)</f>
        <v>29872.59</v>
      </c>
      <c r="C73" s="21">
        <f>INDEX(Data!A67:O267,MATCH('Index &amp; Match'!A73,Data!A67:A267,0),11)</f>
        <v>8</v>
      </c>
      <c r="D73" s="21">
        <f>INDEX(Data!A67:O267,MATCH('Index &amp; Match'!A73,Data!A67:A267,0),14)</f>
        <v>11834.71</v>
      </c>
      <c r="E73" s="21" t="str">
        <f>INDEX(Data!A67:O267,MATCH('Index &amp; Match'!A73,Data!A67:A267,0),5)</f>
        <v>South</v>
      </c>
    </row>
    <row r="74" spans="1:5" x14ac:dyDescent="0.3">
      <c r="A74" s="21" t="s">
        <v>115</v>
      </c>
      <c r="B74" s="21">
        <f>INDEX(Data!A68:O268,MATCH('Index &amp; Match'!A74,Data!A68:A268,0),10)</f>
        <v>19110.18</v>
      </c>
      <c r="C74" s="21">
        <f>INDEX(Data!A68:O268,MATCH('Index &amp; Match'!A74,Data!A68:A268,0),11)</f>
        <v>4</v>
      </c>
      <c r="D74" s="21">
        <f>INDEX(Data!A68:O268,MATCH('Index &amp; Match'!A74,Data!A68:A268,0),14)</f>
        <v>5355.9</v>
      </c>
      <c r="E74" s="21" t="str">
        <f>INDEX(Data!A68:O268,MATCH('Index &amp; Match'!A74,Data!A68:A268,0),5)</f>
        <v>East</v>
      </c>
    </row>
    <row r="75" spans="1:5" x14ac:dyDescent="0.3">
      <c r="A75" s="21" t="s">
        <v>116</v>
      </c>
      <c r="B75" s="21">
        <f>INDEX(Data!A69:O269,MATCH('Index &amp; Match'!A75,Data!A69:A269,0),10)</f>
        <v>15655.09</v>
      </c>
      <c r="C75" s="21">
        <f>INDEX(Data!A69:O269,MATCH('Index &amp; Match'!A75,Data!A69:A269,0),11)</f>
        <v>6</v>
      </c>
      <c r="D75" s="21">
        <f>INDEX(Data!A69:O269,MATCH('Index &amp; Match'!A75,Data!A69:A269,0),14)</f>
        <v>5127.78</v>
      </c>
      <c r="E75" s="21" t="str">
        <f>INDEX(Data!A69:O269,MATCH('Index &amp; Match'!A75,Data!A69:A269,0),5)</f>
        <v>North</v>
      </c>
    </row>
    <row r="76" spans="1:5" x14ac:dyDescent="0.3">
      <c r="A76" s="21" t="s">
        <v>117</v>
      </c>
      <c r="B76" s="21">
        <f>INDEX(Data!A70:O270,MATCH('Index &amp; Match'!A76,Data!A70:A270,0),10)</f>
        <v>26520.71</v>
      </c>
      <c r="C76" s="21">
        <f>INDEX(Data!A70:O270,MATCH('Index &amp; Match'!A76,Data!A70:A270,0),11)</f>
        <v>11</v>
      </c>
      <c r="D76" s="21">
        <f>INDEX(Data!A70:O270,MATCH('Index &amp; Match'!A76,Data!A70:A270,0),14)</f>
        <v>11872.58</v>
      </c>
      <c r="E76" s="21" t="str">
        <f>INDEX(Data!A70:O270,MATCH('Index &amp; Match'!A76,Data!A70:A270,0),5)</f>
        <v>East</v>
      </c>
    </row>
    <row r="77" spans="1:5" x14ac:dyDescent="0.3">
      <c r="A77" s="21" t="s">
        <v>118</v>
      </c>
      <c r="B77" s="21">
        <f>INDEX(Data!A71:O271,MATCH('Index &amp; Match'!A77,Data!A71:A271,0),10)</f>
        <v>21631.65</v>
      </c>
      <c r="C77" s="21">
        <f>INDEX(Data!A71:O271,MATCH('Index &amp; Match'!A77,Data!A71:A271,0),11)</f>
        <v>2</v>
      </c>
      <c r="D77" s="21">
        <f>INDEX(Data!A71:O271,MATCH('Index &amp; Match'!A77,Data!A71:A271,0),14)</f>
        <v>6132.68</v>
      </c>
      <c r="E77" s="21" t="str">
        <f>INDEX(Data!A71:O271,MATCH('Index &amp; Match'!A77,Data!A71:A271,0),5)</f>
        <v>Central</v>
      </c>
    </row>
    <row r="78" spans="1:5" x14ac:dyDescent="0.3">
      <c r="A78" s="21" t="s">
        <v>119</v>
      </c>
      <c r="B78" s="21">
        <f>INDEX(Data!A72:O272,MATCH('Index &amp; Match'!A78,Data!A72:A272,0),10)</f>
        <v>8685.0499999999993</v>
      </c>
      <c r="C78" s="21">
        <f>INDEX(Data!A72:O272,MATCH('Index &amp; Match'!A78,Data!A72:A272,0),11)</f>
        <v>3</v>
      </c>
      <c r="D78" s="21">
        <f>INDEX(Data!A72:O272,MATCH('Index &amp; Match'!A78,Data!A72:A272,0),14)</f>
        <v>1787.51</v>
      </c>
      <c r="E78" s="21" t="str">
        <f>INDEX(Data!A72:O272,MATCH('Index &amp; Match'!A78,Data!A72:A272,0),5)</f>
        <v>East</v>
      </c>
    </row>
    <row r="79" spans="1:5" x14ac:dyDescent="0.3">
      <c r="A79" s="21" t="s">
        <v>120</v>
      </c>
      <c r="B79" s="21">
        <f>INDEX(Data!A73:O273,MATCH('Index &amp; Match'!A79,Data!A73:A273,0),10)</f>
        <v>17115.52</v>
      </c>
      <c r="C79" s="21">
        <f>INDEX(Data!A73:O273,MATCH('Index &amp; Match'!A79,Data!A73:A273,0),11)</f>
        <v>2</v>
      </c>
      <c r="D79" s="21">
        <f>INDEX(Data!A73:O273,MATCH('Index &amp; Match'!A79,Data!A73:A273,0),14)</f>
        <v>7350.19</v>
      </c>
      <c r="E79" s="21" t="str">
        <f>INDEX(Data!A73:O273,MATCH('Index &amp; Match'!A79,Data!A73:A273,0),5)</f>
        <v>Central</v>
      </c>
    </row>
    <row r="80" spans="1:5" x14ac:dyDescent="0.3">
      <c r="A80" s="21" t="s">
        <v>121</v>
      </c>
      <c r="B80" s="21">
        <f>INDEX(Data!A74:O274,MATCH('Index &amp; Match'!A80,Data!A74:A274,0),10)</f>
        <v>38294.550000000003</v>
      </c>
      <c r="C80" s="21">
        <f>INDEX(Data!A74:O274,MATCH('Index &amp; Match'!A80,Data!A74:A274,0),11)</f>
        <v>2</v>
      </c>
      <c r="D80" s="21">
        <f>INDEX(Data!A74:O274,MATCH('Index &amp; Match'!A80,Data!A74:A274,0),14)</f>
        <v>13308.83</v>
      </c>
      <c r="E80" s="21" t="str">
        <f>INDEX(Data!A74:O274,MATCH('Index &amp; Match'!A80,Data!A74:A274,0),5)</f>
        <v>North</v>
      </c>
    </row>
    <row r="81" spans="1:5" x14ac:dyDescent="0.3">
      <c r="A81" s="21" t="s">
        <v>122</v>
      </c>
      <c r="B81" s="21">
        <f>INDEX(Data!A75:O275,MATCH('Index &amp; Match'!A81,Data!A75:A275,0),10)</f>
        <v>32204.5</v>
      </c>
      <c r="C81" s="21">
        <f>INDEX(Data!A75:O275,MATCH('Index &amp; Match'!A81,Data!A75:A275,0),11)</f>
        <v>5</v>
      </c>
      <c r="D81" s="21">
        <f>INDEX(Data!A75:O275,MATCH('Index &amp; Match'!A81,Data!A75:A275,0),14)</f>
        <v>6630.43</v>
      </c>
      <c r="E81" s="21" t="str">
        <f>INDEX(Data!A75:O275,MATCH('Index &amp; Match'!A81,Data!A75:A275,0),5)</f>
        <v>West</v>
      </c>
    </row>
    <row r="82" spans="1:5" x14ac:dyDescent="0.3">
      <c r="A82" s="21" t="s">
        <v>123</v>
      </c>
      <c r="B82" s="21">
        <f>INDEX(Data!A76:O276,MATCH('Index &amp; Match'!A82,Data!A76:A276,0),10)</f>
        <v>20874.66</v>
      </c>
      <c r="C82" s="21">
        <f>INDEX(Data!A76:O276,MATCH('Index &amp; Match'!A82,Data!A76:A276,0),11)</f>
        <v>10</v>
      </c>
      <c r="D82" s="21">
        <f>INDEX(Data!A76:O276,MATCH('Index &amp; Match'!A82,Data!A76:A276,0),14)</f>
        <v>8308.91</v>
      </c>
      <c r="E82" s="21" t="str">
        <f>INDEX(Data!A76:O276,MATCH('Index &amp; Match'!A82,Data!A76:A276,0),5)</f>
        <v>West</v>
      </c>
    </row>
    <row r="83" spans="1:5" x14ac:dyDescent="0.3">
      <c r="A83" s="21" t="s">
        <v>124</v>
      </c>
      <c r="B83" s="21">
        <f>INDEX(Data!A77:O277,MATCH('Index &amp; Match'!A83,Data!A77:A277,0),10)</f>
        <v>26690.16</v>
      </c>
      <c r="C83" s="21">
        <f>INDEX(Data!A77:O277,MATCH('Index &amp; Match'!A83,Data!A77:A277,0),11)</f>
        <v>10</v>
      </c>
      <c r="D83" s="21">
        <f>INDEX(Data!A77:O277,MATCH('Index &amp; Match'!A83,Data!A77:A277,0),14)</f>
        <v>6722.95</v>
      </c>
      <c r="E83" s="21" t="str">
        <f>INDEX(Data!A77:O277,MATCH('Index &amp; Match'!A83,Data!A77:A277,0),5)</f>
        <v>North</v>
      </c>
    </row>
    <row r="84" spans="1:5" x14ac:dyDescent="0.3">
      <c r="A84" s="21" t="s">
        <v>125</v>
      </c>
      <c r="B84" s="21">
        <f>INDEX(Data!A78:O278,MATCH('Index &amp; Match'!A84,Data!A78:A278,0),10)</f>
        <v>6380.96</v>
      </c>
      <c r="C84" s="21">
        <f>INDEX(Data!A78:O278,MATCH('Index &amp; Match'!A84,Data!A78:A278,0),11)</f>
        <v>6</v>
      </c>
      <c r="D84" s="21">
        <f>INDEX(Data!A78:O278,MATCH('Index &amp; Match'!A84,Data!A78:A278,0),14)</f>
        <v>1379.79</v>
      </c>
      <c r="E84" s="21" t="str">
        <f>INDEX(Data!A78:O278,MATCH('Index &amp; Match'!A84,Data!A78:A278,0),5)</f>
        <v>Central</v>
      </c>
    </row>
    <row r="85" spans="1:5" x14ac:dyDescent="0.3">
      <c r="A85" s="21" t="s">
        <v>126</v>
      </c>
      <c r="B85" s="21">
        <f>INDEX(Data!A79:O279,MATCH('Index &amp; Match'!A85,Data!A79:A279,0),10)</f>
        <v>16997.18</v>
      </c>
      <c r="C85" s="21">
        <f>INDEX(Data!A79:O279,MATCH('Index &amp; Match'!A85,Data!A79:A279,0),11)</f>
        <v>4</v>
      </c>
      <c r="D85" s="21">
        <f>INDEX(Data!A79:O279,MATCH('Index &amp; Match'!A85,Data!A79:A279,0),14)</f>
        <v>5911.45</v>
      </c>
      <c r="E85" s="21" t="str">
        <f>INDEX(Data!A79:O279,MATCH('Index &amp; Match'!A85,Data!A79:A279,0),5)</f>
        <v>North</v>
      </c>
    </row>
    <row r="86" spans="1:5" x14ac:dyDescent="0.3">
      <c r="A86" s="21" t="s">
        <v>127</v>
      </c>
      <c r="B86" s="21">
        <f>INDEX(Data!A80:O280,MATCH('Index &amp; Match'!A86,Data!A80:A280,0),10)</f>
        <v>35876.800000000003</v>
      </c>
      <c r="C86" s="21">
        <f>INDEX(Data!A80:O280,MATCH('Index &amp; Match'!A86,Data!A80:A280,0),11)</f>
        <v>4</v>
      </c>
      <c r="D86" s="21">
        <f>INDEX(Data!A80:O280,MATCH('Index &amp; Match'!A86,Data!A80:A280,0),14)</f>
        <v>15108.24</v>
      </c>
      <c r="E86" s="21" t="str">
        <f>INDEX(Data!A80:O280,MATCH('Index &amp; Match'!A86,Data!A80:A280,0),5)</f>
        <v>South</v>
      </c>
    </row>
    <row r="87" spans="1:5" x14ac:dyDescent="0.3">
      <c r="A87" s="21" t="s">
        <v>128</v>
      </c>
      <c r="B87" s="21">
        <f>INDEX(Data!A81:O281,MATCH('Index &amp; Match'!A87,Data!A81:A281,0),10)</f>
        <v>8174.32</v>
      </c>
      <c r="C87" s="21">
        <f>INDEX(Data!A81:O281,MATCH('Index &amp; Match'!A87,Data!A81:A281,0),11)</f>
        <v>1</v>
      </c>
      <c r="D87" s="21">
        <f>INDEX(Data!A81:O281,MATCH('Index &amp; Match'!A87,Data!A81:A281,0),14)</f>
        <v>3369.09</v>
      </c>
      <c r="E87" s="21" t="str">
        <f>INDEX(Data!A81:O281,MATCH('Index &amp; Match'!A87,Data!A81:A281,0),5)</f>
        <v>Central</v>
      </c>
    </row>
    <row r="88" spans="1:5" x14ac:dyDescent="0.3">
      <c r="A88" s="21" t="s">
        <v>129</v>
      </c>
      <c r="B88" s="21">
        <f>INDEX(Data!A82:O282,MATCH('Index &amp; Match'!A88,Data!A82:A282,0),10)</f>
        <v>39291.32</v>
      </c>
      <c r="C88" s="21">
        <f>INDEX(Data!A82:O282,MATCH('Index &amp; Match'!A88,Data!A82:A282,0),11)</f>
        <v>3</v>
      </c>
      <c r="D88" s="21">
        <f>INDEX(Data!A82:O282,MATCH('Index &amp; Match'!A88,Data!A82:A282,0),14)</f>
        <v>15736.56</v>
      </c>
      <c r="E88" s="21" t="str">
        <f>INDEX(Data!A82:O282,MATCH('Index &amp; Match'!A88,Data!A82:A282,0),5)</f>
        <v>East</v>
      </c>
    </row>
    <row r="89" spans="1:5" x14ac:dyDescent="0.3">
      <c r="A89" s="21" t="s">
        <v>130</v>
      </c>
      <c r="B89" s="21">
        <f>INDEX(Data!A83:O283,MATCH('Index &amp; Match'!A89,Data!A83:A283,0),10)</f>
        <v>34045.949999999997</v>
      </c>
      <c r="C89" s="21">
        <f>INDEX(Data!A83:O283,MATCH('Index &amp; Match'!A89,Data!A83:A283,0),11)</f>
        <v>11</v>
      </c>
      <c r="D89" s="21">
        <f>INDEX(Data!A83:O283,MATCH('Index &amp; Match'!A89,Data!A83:A283,0),14)</f>
        <v>8188.39</v>
      </c>
      <c r="E89" s="21" t="str">
        <f>INDEX(Data!A83:O283,MATCH('Index &amp; Match'!A89,Data!A83:A283,0),5)</f>
        <v>South</v>
      </c>
    </row>
    <row r="90" spans="1:5" x14ac:dyDescent="0.3">
      <c r="A90" s="21" t="s">
        <v>131</v>
      </c>
      <c r="B90" s="21">
        <f>INDEX(Data!A84:O284,MATCH('Index &amp; Match'!A90,Data!A84:A284,0),10)</f>
        <v>27696.22</v>
      </c>
      <c r="C90" s="21">
        <f>INDEX(Data!A84:O284,MATCH('Index &amp; Match'!A90,Data!A84:A284,0),11)</f>
        <v>8</v>
      </c>
      <c r="D90" s="21">
        <f>INDEX(Data!A84:O284,MATCH('Index &amp; Match'!A90,Data!A84:A284,0),14)</f>
        <v>4163.33</v>
      </c>
      <c r="E90" s="21" t="str">
        <f>INDEX(Data!A84:O284,MATCH('Index &amp; Match'!A90,Data!A84:A284,0),5)</f>
        <v>South</v>
      </c>
    </row>
    <row r="91" spans="1:5" x14ac:dyDescent="0.3">
      <c r="A91" s="21" t="s">
        <v>132</v>
      </c>
      <c r="B91" s="21">
        <f>INDEX(Data!A85:O285,MATCH('Index &amp; Match'!A91,Data!A85:A285,0),10)</f>
        <v>15446.07</v>
      </c>
      <c r="C91" s="21">
        <f>INDEX(Data!A85:O285,MATCH('Index &amp; Match'!A91,Data!A85:A285,0),11)</f>
        <v>3</v>
      </c>
      <c r="D91" s="21">
        <f>INDEX(Data!A85:O285,MATCH('Index &amp; Match'!A91,Data!A85:A285,0),14)</f>
        <v>3158.71</v>
      </c>
      <c r="E91" s="21" t="str">
        <f>INDEX(Data!A85:O285,MATCH('Index &amp; Match'!A91,Data!A85:A285,0),5)</f>
        <v>West</v>
      </c>
    </row>
    <row r="92" spans="1:5" x14ac:dyDescent="0.3">
      <c r="A92" s="21" t="s">
        <v>133</v>
      </c>
      <c r="B92" s="21">
        <f>INDEX(Data!A86:O286,MATCH('Index &amp; Match'!A92,Data!A86:A286,0),10)</f>
        <v>4409.4399999999996</v>
      </c>
      <c r="C92" s="21">
        <f>INDEX(Data!A86:O286,MATCH('Index &amp; Match'!A92,Data!A86:A286,0),11)</f>
        <v>4</v>
      </c>
      <c r="D92" s="21">
        <f>INDEX(Data!A86:O286,MATCH('Index &amp; Match'!A92,Data!A86:A286,0),14)</f>
        <v>1121.55</v>
      </c>
      <c r="E92" s="21" t="str">
        <f>INDEX(Data!A86:O286,MATCH('Index &amp; Match'!A92,Data!A86:A286,0),5)</f>
        <v>Central</v>
      </c>
    </row>
    <row r="93" spans="1:5" x14ac:dyDescent="0.3">
      <c r="A93" s="21" t="s">
        <v>134</v>
      </c>
      <c r="B93" s="21">
        <f>INDEX(Data!A87:O287,MATCH('Index &amp; Match'!A93,Data!A87:A287,0),10)</f>
        <v>12351.61</v>
      </c>
      <c r="C93" s="21">
        <f>INDEX(Data!A87:O287,MATCH('Index &amp; Match'!A93,Data!A87:A287,0),11)</f>
        <v>11</v>
      </c>
      <c r="D93" s="21">
        <f>INDEX(Data!A87:O287,MATCH('Index &amp; Match'!A93,Data!A87:A287,0),14)</f>
        <v>3711.92</v>
      </c>
      <c r="E93" s="21" t="str">
        <f>INDEX(Data!A87:O287,MATCH('Index &amp; Match'!A93,Data!A87:A287,0),5)</f>
        <v>North</v>
      </c>
    </row>
    <row r="94" spans="1:5" x14ac:dyDescent="0.3">
      <c r="A94" s="21" t="s">
        <v>135</v>
      </c>
      <c r="B94" s="21">
        <f>INDEX(Data!A88:O288,MATCH('Index &amp; Match'!A94,Data!A88:A288,0),10)</f>
        <v>29847.06</v>
      </c>
      <c r="C94" s="21">
        <f>INDEX(Data!A88:O288,MATCH('Index &amp; Match'!A94,Data!A88:A288,0),11)</f>
        <v>5</v>
      </c>
      <c r="D94" s="21">
        <f>INDEX(Data!A88:O288,MATCH('Index &amp; Match'!A94,Data!A88:A288,0),14)</f>
        <v>5532.29</v>
      </c>
      <c r="E94" s="21" t="str">
        <f>INDEX(Data!A88:O288,MATCH('Index &amp; Match'!A94,Data!A88:A288,0),5)</f>
        <v>West</v>
      </c>
    </row>
    <row r="95" spans="1:5" x14ac:dyDescent="0.3">
      <c r="A95" s="21" t="s">
        <v>136</v>
      </c>
      <c r="B95" s="21">
        <f>INDEX(Data!A89:O289,MATCH('Index &amp; Match'!A95,Data!A89:A289,0),10)</f>
        <v>17327.560000000001</v>
      </c>
      <c r="C95" s="21">
        <f>INDEX(Data!A89:O289,MATCH('Index &amp; Match'!A95,Data!A89:A289,0),11)</f>
        <v>8</v>
      </c>
      <c r="D95" s="21">
        <f>INDEX(Data!A89:O289,MATCH('Index &amp; Match'!A95,Data!A89:A289,0),14)</f>
        <v>3416.55</v>
      </c>
      <c r="E95" s="21" t="str">
        <f>INDEX(Data!A89:O289,MATCH('Index &amp; Match'!A95,Data!A89:A289,0),5)</f>
        <v>Central</v>
      </c>
    </row>
    <row r="96" spans="1:5" x14ac:dyDescent="0.3">
      <c r="A96" s="21" t="s">
        <v>137</v>
      </c>
      <c r="B96" s="21">
        <f>INDEX(Data!A90:O290,MATCH('Index &amp; Match'!A96,Data!A90:A290,0),10)</f>
        <v>32273.13</v>
      </c>
      <c r="C96" s="21">
        <f>INDEX(Data!A90:O290,MATCH('Index &amp; Match'!A96,Data!A90:A290,0),11)</f>
        <v>10</v>
      </c>
      <c r="D96" s="21">
        <f>INDEX(Data!A90:O290,MATCH('Index &amp; Match'!A96,Data!A90:A290,0),14)</f>
        <v>9873.31</v>
      </c>
      <c r="E96" s="21" t="str">
        <f>INDEX(Data!A90:O290,MATCH('Index &amp; Match'!A96,Data!A90:A290,0),5)</f>
        <v>North</v>
      </c>
    </row>
    <row r="97" spans="1:5" x14ac:dyDescent="0.3">
      <c r="A97" s="21" t="s">
        <v>138</v>
      </c>
      <c r="B97" s="21">
        <f>INDEX(Data!A91:O291,MATCH('Index &amp; Match'!A97,Data!A91:A291,0),10)</f>
        <v>9259.2199999999993</v>
      </c>
      <c r="C97" s="21">
        <f>INDEX(Data!A91:O291,MATCH('Index &amp; Match'!A97,Data!A91:A291,0),11)</f>
        <v>9</v>
      </c>
      <c r="D97" s="21">
        <f>INDEX(Data!A91:O291,MATCH('Index &amp; Match'!A97,Data!A91:A291,0),14)</f>
        <v>1928.78</v>
      </c>
      <c r="E97" s="21" t="str">
        <f>INDEX(Data!A91:O291,MATCH('Index &amp; Match'!A97,Data!A91:A291,0),5)</f>
        <v>Central</v>
      </c>
    </row>
    <row r="98" spans="1:5" x14ac:dyDescent="0.3">
      <c r="A98" s="21" t="s">
        <v>139</v>
      </c>
      <c r="B98" s="21">
        <f>INDEX(Data!A92:O292,MATCH('Index &amp; Match'!A98,Data!A92:A292,0),10)</f>
        <v>33090.85</v>
      </c>
      <c r="C98" s="21">
        <f>INDEX(Data!A92:O292,MATCH('Index &amp; Match'!A98,Data!A92:A292,0),11)</f>
        <v>1</v>
      </c>
      <c r="D98" s="21">
        <f>INDEX(Data!A92:O292,MATCH('Index &amp; Match'!A98,Data!A92:A292,0),14)</f>
        <v>7046.92</v>
      </c>
      <c r="E98" s="21" t="str">
        <f>INDEX(Data!A92:O292,MATCH('Index &amp; Match'!A98,Data!A92:A292,0),5)</f>
        <v>South</v>
      </c>
    </row>
    <row r="99" spans="1:5" x14ac:dyDescent="0.3">
      <c r="A99" s="21" t="s">
        <v>140</v>
      </c>
      <c r="B99" s="21">
        <f>INDEX(Data!A93:O293,MATCH('Index &amp; Match'!A99,Data!A93:A293,0),10)</f>
        <v>34516.370000000003</v>
      </c>
      <c r="C99" s="21">
        <f>INDEX(Data!A93:O293,MATCH('Index &amp; Match'!A99,Data!A93:A293,0),11)</f>
        <v>10</v>
      </c>
      <c r="D99" s="21">
        <f>INDEX(Data!A93:O293,MATCH('Index &amp; Match'!A99,Data!A93:A293,0),14)</f>
        <v>8757.2800000000007</v>
      </c>
      <c r="E99" s="21" t="str">
        <f>INDEX(Data!A93:O293,MATCH('Index &amp; Match'!A99,Data!A93:A293,0),5)</f>
        <v>East</v>
      </c>
    </row>
    <row r="100" spans="1:5" x14ac:dyDescent="0.3">
      <c r="A100" s="21" t="s">
        <v>141</v>
      </c>
      <c r="B100" s="21">
        <f>INDEX(Data!A94:O294,MATCH('Index &amp; Match'!A100,Data!A94:A294,0),10)</f>
        <v>29110.13</v>
      </c>
      <c r="C100" s="21">
        <f>INDEX(Data!A94:O294,MATCH('Index &amp; Match'!A100,Data!A94:A294,0),11)</f>
        <v>3</v>
      </c>
      <c r="D100" s="21">
        <f>INDEX(Data!A94:O294,MATCH('Index &amp; Match'!A100,Data!A94:A294,0),14)</f>
        <v>11871.06</v>
      </c>
      <c r="E100" s="21" t="str">
        <f>INDEX(Data!A94:O294,MATCH('Index &amp; Match'!A100,Data!A94:A294,0),5)</f>
        <v>West</v>
      </c>
    </row>
    <row r="101" spans="1:5" x14ac:dyDescent="0.3">
      <c r="A101" s="21" t="s">
        <v>142</v>
      </c>
      <c r="B101" s="21">
        <f>INDEX(Data!A95:O295,MATCH('Index &amp; Match'!A101,Data!A95:A295,0),10)</f>
        <v>8797.35</v>
      </c>
      <c r="C101" s="21">
        <f>INDEX(Data!A95:O295,MATCH('Index &amp; Match'!A101,Data!A95:A295,0),11)</f>
        <v>2</v>
      </c>
      <c r="D101" s="21">
        <f>INDEX(Data!A95:O295,MATCH('Index &amp; Match'!A101,Data!A95:A295,0),14)</f>
        <v>3340.1</v>
      </c>
      <c r="E101" s="21" t="str">
        <f>INDEX(Data!A95:O295,MATCH('Index &amp; Match'!A101,Data!A95:A295,0),5)</f>
        <v>West</v>
      </c>
    </row>
    <row r="102" spans="1:5" x14ac:dyDescent="0.3">
      <c r="A102" s="21" t="s">
        <v>143</v>
      </c>
      <c r="B102" s="21">
        <f>INDEX(Data!A96:O296,MATCH('Index &amp; Match'!A102,Data!A96:A296,0),10)</f>
        <v>9537.34</v>
      </c>
      <c r="C102" s="21">
        <f>INDEX(Data!A96:O296,MATCH('Index &amp; Match'!A102,Data!A96:A296,0),11)</f>
        <v>2</v>
      </c>
      <c r="D102" s="21">
        <f>INDEX(Data!A96:O296,MATCH('Index &amp; Match'!A102,Data!A96:A296,0),14)</f>
        <v>3493.04</v>
      </c>
      <c r="E102" s="21" t="str">
        <f>INDEX(Data!A96:O296,MATCH('Index &amp; Match'!A102,Data!A96:A296,0),5)</f>
        <v>Central</v>
      </c>
    </row>
    <row r="103" spans="1:5" x14ac:dyDescent="0.3">
      <c r="A103" s="21" t="s">
        <v>144</v>
      </c>
      <c r="B103" s="21">
        <f>INDEX(Data!A97:O297,MATCH('Index &amp; Match'!A103,Data!A97:A297,0),10)</f>
        <v>3320.34</v>
      </c>
      <c r="C103" s="21">
        <f>INDEX(Data!A97:O297,MATCH('Index &amp; Match'!A103,Data!A97:A297,0),11)</f>
        <v>11</v>
      </c>
      <c r="D103" s="21">
        <f>INDEX(Data!A97:O297,MATCH('Index &amp; Match'!A103,Data!A97:A297,0),14)</f>
        <v>571.85</v>
      </c>
      <c r="E103" s="21" t="str">
        <f>INDEX(Data!A97:O297,MATCH('Index &amp; Match'!A103,Data!A97:A297,0),5)</f>
        <v>North</v>
      </c>
    </row>
    <row r="104" spans="1:5" x14ac:dyDescent="0.3">
      <c r="A104" s="21" t="s">
        <v>145</v>
      </c>
      <c r="B104" s="21">
        <f>INDEX(Data!A98:O298,MATCH('Index &amp; Match'!A104,Data!A98:A298,0),10)</f>
        <v>2811.01</v>
      </c>
      <c r="C104" s="21">
        <f>INDEX(Data!A98:O298,MATCH('Index &amp; Match'!A104,Data!A98:A298,0),11)</f>
        <v>10</v>
      </c>
      <c r="D104" s="21">
        <f>INDEX(Data!A98:O298,MATCH('Index &amp; Match'!A104,Data!A98:A298,0),14)</f>
        <v>574.49</v>
      </c>
      <c r="E104" s="21" t="str">
        <f>INDEX(Data!A98:O298,MATCH('Index &amp; Match'!A104,Data!A98:A298,0),5)</f>
        <v>West</v>
      </c>
    </row>
    <row r="105" spans="1:5" x14ac:dyDescent="0.3">
      <c r="A105" s="21" t="s">
        <v>146</v>
      </c>
      <c r="B105" s="21">
        <f>INDEX(Data!A99:O299,MATCH('Index &amp; Match'!A105,Data!A99:A299,0),10)</f>
        <v>29771.53</v>
      </c>
      <c r="C105" s="21">
        <f>INDEX(Data!A99:O299,MATCH('Index &amp; Match'!A105,Data!A99:A299,0),11)</f>
        <v>11</v>
      </c>
      <c r="D105" s="21">
        <f>INDEX(Data!A99:O299,MATCH('Index &amp; Match'!A105,Data!A99:A299,0),14)</f>
        <v>7276.59</v>
      </c>
      <c r="E105" s="21" t="str">
        <f>INDEX(Data!A99:O299,MATCH('Index &amp; Match'!A105,Data!A99:A299,0),5)</f>
        <v>West</v>
      </c>
    </row>
    <row r="106" spans="1:5" x14ac:dyDescent="0.3">
      <c r="A106" s="21" t="s">
        <v>147</v>
      </c>
      <c r="B106" s="21">
        <f>INDEX(Data!A100:O300,MATCH('Index &amp; Match'!A106,Data!A100:A300,0),10)</f>
        <v>20067.45</v>
      </c>
      <c r="C106" s="21">
        <f>INDEX(Data!A100:O300,MATCH('Index &amp; Match'!A106,Data!A100:A300,0),11)</f>
        <v>3</v>
      </c>
      <c r="D106" s="21">
        <f>INDEX(Data!A100:O300,MATCH('Index &amp; Match'!A106,Data!A100:A300,0),14)</f>
        <v>6093.17</v>
      </c>
      <c r="E106" s="21" t="str">
        <f>INDEX(Data!A100:O300,MATCH('Index &amp; Match'!A106,Data!A100:A300,0),5)</f>
        <v>East</v>
      </c>
    </row>
    <row r="107" spans="1:5" x14ac:dyDescent="0.3">
      <c r="A107" s="21" t="s">
        <v>148</v>
      </c>
      <c r="B107" s="21">
        <f>INDEX(Data!A101:O301,MATCH('Index &amp; Match'!A107,Data!A101:A301,0),10)</f>
        <v>30651.24</v>
      </c>
      <c r="C107" s="21">
        <f>INDEX(Data!A101:O301,MATCH('Index &amp; Match'!A107,Data!A101:A301,0),11)</f>
        <v>8</v>
      </c>
      <c r="D107" s="21">
        <f>INDEX(Data!A101:O301,MATCH('Index &amp; Match'!A107,Data!A101:A301,0),14)</f>
        <v>8885.2900000000009</v>
      </c>
      <c r="E107" s="21" t="str">
        <f>INDEX(Data!A101:O301,MATCH('Index &amp; Match'!A107,Data!A101:A301,0),5)</f>
        <v>West</v>
      </c>
    </row>
    <row r="108" spans="1:5" x14ac:dyDescent="0.3">
      <c r="A108" s="21" t="s">
        <v>149</v>
      </c>
      <c r="B108" s="21">
        <f>INDEX(Data!A102:O302,MATCH('Index &amp; Match'!A108,Data!A102:A302,0),10)</f>
        <v>11883.65</v>
      </c>
      <c r="C108" s="21">
        <f>INDEX(Data!A102:O302,MATCH('Index &amp; Match'!A108,Data!A102:A302,0),11)</f>
        <v>3</v>
      </c>
      <c r="D108" s="21">
        <f>INDEX(Data!A102:O302,MATCH('Index &amp; Match'!A108,Data!A102:A302,0),14)</f>
        <v>5150.1000000000004</v>
      </c>
      <c r="E108" s="21" t="str">
        <f>INDEX(Data!A102:O302,MATCH('Index &amp; Match'!A108,Data!A102:A302,0),5)</f>
        <v>South</v>
      </c>
    </row>
    <row r="109" spans="1:5" x14ac:dyDescent="0.3">
      <c r="A109" s="21" t="s">
        <v>150</v>
      </c>
      <c r="B109" s="21">
        <f>INDEX(Data!A103:O303,MATCH('Index &amp; Match'!A109,Data!A103:A303,0),10)</f>
        <v>14334.46</v>
      </c>
      <c r="C109" s="21">
        <f>INDEX(Data!A103:O303,MATCH('Index &amp; Match'!A109,Data!A103:A303,0),11)</f>
        <v>1</v>
      </c>
      <c r="D109" s="21">
        <f>INDEX(Data!A103:O303,MATCH('Index &amp; Match'!A109,Data!A103:A303,0),14)</f>
        <v>4126.82</v>
      </c>
      <c r="E109" s="21" t="str">
        <f>INDEX(Data!A103:O303,MATCH('Index &amp; Match'!A109,Data!A103:A303,0),5)</f>
        <v>South</v>
      </c>
    </row>
    <row r="110" spans="1:5" x14ac:dyDescent="0.3">
      <c r="A110" s="21" t="s">
        <v>151</v>
      </c>
      <c r="B110" s="21">
        <f>INDEX(Data!A104:O304,MATCH('Index &amp; Match'!A110,Data!A104:A304,0),10)</f>
        <v>35872.379999999997</v>
      </c>
      <c r="C110" s="21">
        <f>INDEX(Data!A104:O304,MATCH('Index &amp; Match'!A110,Data!A104:A304,0),11)</f>
        <v>7</v>
      </c>
      <c r="D110" s="21">
        <f>INDEX(Data!A104:O304,MATCH('Index &amp; Match'!A110,Data!A104:A304,0),14)</f>
        <v>15261.43</v>
      </c>
      <c r="E110" s="21" t="str">
        <f>INDEX(Data!A104:O304,MATCH('Index &amp; Match'!A110,Data!A104:A304,0),5)</f>
        <v>North</v>
      </c>
    </row>
    <row r="111" spans="1:5" x14ac:dyDescent="0.3">
      <c r="A111" s="21" t="s">
        <v>152</v>
      </c>
      <c r="B111" s="21">
        <f>INDEX(Data!A105:O305,MATCH('Index &amp; Match'!A111,Data!A105:A305,0),10)</f>
        <v>39897.43</v>
      </c>
      <c r="C111" s="21">
        <f>INDEX(Data!A105:O305,MATCH('Index &amp; Match'!A111,Data!A105:A305,0),11)</f>
        <v>11</v>
      </c>
      <c r="D111" s="21">
        <f>INDEX(Data!A105:O305,MATCH('Index &amp; Match'!A111,Data!A105:A305,0),14)</f>
        <v>11418.42</v>
      </c>
      <c r="E111" s="21" t="str">
        <f>INDEX(Data!A105:O305,MATCH('Index &amp; Match'!A111,Data!A105:A305,0),5)</f>
        <v>Central</v>
      </c>
    </row>
    <row r="112" spans="1:5" x14ac:dyDescent="0.3">
      <c r="A112" s="21" t="s">
        <v>153</v>
      </c>
      <c r="B112" s="21">
        <f>INDEX(Data!A106:O306,MATCH('Index &amp; Match'!A112,Data!A106:A306,0),10)</f>
        <v>4788.83</v>
      </c>
      <c r="C112" s="21">
        <f>INDEX(Data!A106:O306,MATCH('Index &amp; Match'!A112,Data!A106:A306,0),11)</f>
        <v>3</v>
      </c>
      <c r="D112" s="21">
        <f>INDEX(Data!A106:O306,MATCH('Index &amp; Match'!A112,Data!A106:A306,0),14)</f>
        <v>1477.33</v>
      </c>
      <c r="E112" s="21" t="str">
        <f>INDEX(Data!A106:O306,MATCH('Index &amp; Match'!A112,Data!A106:A306,0),5)</f>
        <v>East</v>
      </c>
    </row>
    <row r="113" spans="1:5" x14ac:dyDescent="0.3">
      <c r="A113" s="21" t="s">
        <v>154</v>
      </c>
      <c r="B113" s="21">
        <f>INDEX(Data!A107:O307,MATCH('Index &amp; Match'!A113,Data!A107:A307,0),10)</f>
        <v>31346.68</v>
      </c>
      <c r="C113" s="21">
        <f>INDEX(Data!A107:O307,MATCH('Index &amp; Match'!A113,Data!A107:A307,0),11)</f>
        <v>1</v>
      </c>
      <c r="D113" s="21">
        <f>INDEX(Data!A107:O307,MATCH('Index &amp; Match'!A113,Data!A107:A307,0),14)</f>
        <v>8013.26</v>
      </c>
      <c r="E113" s="21" t="str">
        <f>INDEX(Data!A107:O307,MATCH('Index &amp; Match'!A113,Data!A107:A307,0),5)</f>
        <v>East</v>
      </c>
    </row>
    <row r="114" spans="1:5" x14ac:dyDescent="0.3">
      <c r="A114" s="21" t="s">
        <v>155</v>
      </c>
      <c r="B114" s="21">
        <f>INDEX(Data!A108:O308,MATCH('Index &amp; Match'!A114,Data!A108:A308,0),10)</f>
        <v>22601.02</v>
      </c>
      <c r="C114" s="21">
        <f>INDEX(Data!A108:O308,MATCH('Index &amp; Match'!A114,Data!A108:A308,0),11)</f>
        <v>7</v>
      </c>
      <c r="D114" s="21">
        <f>INDEX(Data!A108:O308,MATCH('Index &amp; Match'!A114,Data!A108:A308,0),14)</f>
        <v>9017.7000000000007</v>
      </c>
      <c r="E114" s="21" t="str">
        <f>INDEX(Data!A108:O308,MATCH('Index &amp; Match'!A114,Data!A108:A308,0),5)</f>
        <v>West</v>
      </c>
    </row>
    <row r="115" spans="1:5" x14ac:dyDescent="0.3">
      <c r="A115" s="21" t="s">
        <v>156</v>
      </c>
      <c r="B115" s="21">
        <f>INDEX(Data!A109:O309,MATCH('Index &amp; Match'!A115,Data!A109:A309,0),10)</f>
        <v>978.31</v>
      </c>
      <c r="C115" s="21">
        <f>INDEX(Data!A109:O309,MATCH('Index &amp; Match'!A115,Data!A109:A309,0),11)</f>
        <v>1</v>
      </c>
      <c r="D115" s="21">
        <f>INDEX(Data!A109:O309,MATCH('Index &amp; Match'!A115,Data!A109:A309,0),14)</f>
        <v>386.51</v>
      </c>
      <c r="E115" s="21" t="str">
        <f>INDEX(Data!A109:O309,MATCH('Index &amp; Match'!A115,Data!A109:A309,0),5)</f>
        <v>West</v>
      </c>
    </row>
    <row r="116" spans="1:5" x14ac:dyDescent="0.3">
      <c r="A116" s="21" t="s">
        <v>157</v>
      </c>
      <c r="B116" s="21">
        <f>INDEX(Data!A110:O310,MATCH('Index &amp; Match'!A116,Data!A110:A310,0),10)</f>
        <v>24968.77</v>
      </c>
      <c r="C116" s="21">
        <f>INDEX(Data!A110:O310,MATCH('Index &amp; Match'!A116,Data!A110:A310,0),11)</f>
        <v>9</v>
      </c>
      <c r="D116" s="21">
        <f>INDEX(Data!A110:O310,MATCH('Index &amp; Match'!A116,Data!A110:A310,0),14)</f>
        <v>11024.97</v>
      </c>
      <c r="E116" s="21" t="str">
        <f>INDEX(Data!A110:O310,MATCH('Index &amp; Match'!A116,Data!A110:A310,0),5)</f>
        <v>South</v>
      </c>
    </row>
    <row r="117" spans="1:5" x14ac:dyDescent="0.3">
      <c r="A117" s="21" t="s">
        <v>158</v>
      </c>
      <c r="B117" s="21">
        <f>INDEX(Data!A111:O311,MATCH('Index &amp; Match'!A117,Data!A111:A311,0),10)</f>
        <v>11773.18</v>
      </c>
      <c r="C117" s="21">
        <f>INDEX(Data!A111:O311,MATCH('Index &amp; Match'!A117,Data!A111:A311,0),11)</f>
        <v>3</v>
      </c>
      <c r="D117" s="21">
        <f>INDEX(Data!A111:O311,MATCH('Index &amp; Match'!A117,Data!A111:A311,0),14)</f>
        <v>1791.06</v>
      </c>
      <c r="E117" s="21" t="str">
        <f>INDEX(Data!A111:O311,MATCH('Index &amp; Match'!A117,Data!A111:A311,0),5)</f>
        <v>East</v>
      </c>
    </row>
    <row r="118" spans="1:5" x14ac:dyDescent="0.3">
      <c r="A118" s="21" t="s">
        <v>159</v>
      </c>
      <c r="B118" s="21">
        <f>INDEX(Data!A112:O312,MATCH('Index &amp; Match'!A118,Data!A112:A312,0),10)</f>
        <v>14542.07</v>
      </c>
      <c r="C118" s="21">
        <f>INDEX(Data!A112:O312,MATCH('Index &amp; Match'!A118,Data!A112:A312,0),11)</f>
        <v>1</v>
      </c>
      <c r="D118" s="21">
        <f>INDEX(Data!A112:O312,MATCH('Index &amp; Match'!A118,Data!A112:A312,0),14)</f>
        <v>3863.21</v>
      </c>
      <c r="E118" s="21" t="str">
        <f>INDEX(Data!A112:O312,MATCH('Index &amp; Match'!A118,Data!A112:A312,0),5)</f>
        <v>North</v>
      </c>
    </row>
    <row r="119" spans="1:5" x14ac:dyDescent="0.3">
      <c r="A119" s="21" t="s">
        <v>160</v>
      </c>
      <c r="B119" s="21">
        <f>INDEX(Data!A113:O313,MATCH('Index &amp; Match'!A119,Data!A113:A313,0),10)</f>
        <v>38795.730000000003</v>
      </c>
      <c r="C119" s="21">
        <f>INDEX(Data!A113:O313,MATCH('Index &amp; Match'!A119,Data!A113:A313,0),11)</f>
        <v>1</v>
      </c>
      <c r="D119" s="21">
        <f>INDEX(Data!A113:O313,MATCH('Index &amp; Match'!A119,Data!A113:A313,0),14)</f>
        <v>13779.08</v>
      </c>
      <c r="E119" s="21" t="str">
        <f>INDEX(Data!A113:O313,MATCH('Index &amp; Match'!A119,Data!A113:A313,0),5)</f>
        <v>North</v>
      </c>
    </row>
    <row r="120" spans="1:5" x14ac:dyDescent="0.3">
      <c r="A120" s="21" t="s">
        <v>161</v>
      </c>
      <c r="B120" s="21">
        <f>INDEX(Data!A114:O314,MATCH('Index &amp; Match'!A120,Data!A114:A314,0),10)</f>
        <v>29912.97</v>
      </c>
      <c r="C120" s="21">
        <f>INDEX(Data!A114:O314,MATCH('Index &amp; Match'!A120,Data!A114:A314,0),11)</f>
        <v>7</v>
      </c>
      <c r="D120" s="21">
        <f>INDEX(Data!A114:O314,MATCH('Index &amp; Match'!A120,Data!A114:A314,0),14)</f>
        <v>9401.7199999999993</v>
      </c>
      <c r="E120" s="21" t="str">
        <f>INDEX(Data!A114:O314,MATCH('Index &amp; Match'!A120,Data!A114:A314,0),5)</f>
        <v>North</v>
      </c>
    </row>
    <row r="121" spans="1:5" x14ac:dyDescent="0.3">
      <c r="A121" s="21" t="s">
        <v>162</v>
      </c>
      <c r="B121" s="21">
        <f>INDEX(Data!A115:O315,MATCH('Index &amp; Match'!A121,Data!A115:A315,0),10)</f>
        <v>2937.25</v>
      </c>
      <c r="C121" s="21">
        <f>INDEX(Data!A115:O315,MATCH('Index &amp; Match'!A121,Data!A115:A315,0),11)</f>
        <v>10</v>
      </c>
      <c r="D121" s="21">
        <f>INDEX(Data!A115:O315,MATCH('Index &amp; Match'!A121,Data!A115:A315,0),14)</f>
        <v>1082.4000000000001</v>
      </c>
      <c r="E121" s="21" t="str">
        <f>INDEX(Data!A115:O315,MATCH('Index &amp; Match'!A121,Data!A115:A315,0),5)</f>
        <v>Central</v>
      </c>
    </row>
    <row r="122" spans="1:5" x14ac:dyDescent="0.3">
      <c r="A122" s="21" t="s">
        <v>163</v>
      </c>
      <c r="B122" s="21">
        <f>INDEX(Data!A116:O316,MATCH('Index &amp; Match'!A122,Data!A116:A316,0),10)</f>
        <v>27494.25</v>
      </c>
      <c r="C122" s="21">
        <f>INDEX(Data!A116:O316,MATCH('Index &amp; Match'!A122,Data!A116:A316,0),11)</f>
        <v>1</v>
      </c>
      <c r="D122" s="21">
        <f>INDEX(Data!A116:O316,MATCH('Index &amp; Match'!A122,Data!A116:A316,0),14)</f>
        <v>9629.08</v>
      </c>
      <c r="E122" s="21" t="str">
        <f>INDEX(Data!A116:O316,MATCH('Index &amp; Match'!A122,Data!A116:A316,0),5)</f>
        <v>South</v>
      </c>
    </row>
    <row r="123" spans="1:5" x14ac:dyDescent="0.3">
      <c r="A123" s="21" t="s">
        <v>164</v>
      </c>
      <c r="B123" s="21">
        <f>INDEX(Data!A117:O317,MATCH('Index &amp; Match'!A123,Data!A117:A317,0),10)</f>
        <v>1309.43</v>
      </c>
      <c r="C123" s="21">
        <f>INDEX(Data!A117:O317,MATCH('Index &amp; Match'!A123,Data!A117:A317,0),11)</f>
        <v>4</v>
      </c>
      <c r="D123" s="21">
        <f>INDEX(Data!A117:O317,MATCH('Index &amp; Match'!A123,Data!A117:A317,0),14)</f>
        <v>222.5</v>
      </c>
      <c r="E123" s="21" t="str">
        <f>INDEX(Data!A117:O317,MATCH('Index &amp; Match'!A123,Data!A117:A317,0),5)</f>
        <v>East</v>
      </c>
    </row>
    <row r="124" spans="1:5" x14ac:dyDescent="0.3">
      <c r="A124" s="21" t="s">
        <v>165</v>
      </c>
      <c r="B124" s="21">
        <f>INDEX(Data!A118:O318,MATCH('Index &amp; Match'!A124,Data!A118:A318,0),10)</f>
        <v>35538.800000000003</v>
      </c>
      <c r="C124" s="21">
        <f>INDEX(Data!A118:O318,MATCH('Index &amp; Match'!A124,Data!A118:A318,0),11)</f>
        <v>6</v>
      </c>
      <c r="D124" s="21">
        <f>INDEX(Data!A118:O318,MATCH('Index &amp; Match'!A124,Data!A118:A318,0),14)</f>
        <v>10566.28</v>
      </c>
      <c r="E124" s="21" t="str">
        <f>INDEX(Data!A118:O318,MATCH('Index &amp; Match'!A124,Data!A118:A318,0),5)</f>
        <v>West</v>
      </c>
    </row>
    <row r="125" spans="1:5" x14ac:dyDescent="0.3">
      <c r="A125" s="21" t="s">
        <v>166</v>
      </c>
      <c r="B125" s="21">
        <f>INDEX(Data!A119:O319,MATCH('Index &amp; Match'!A125,Data!A119:A319,0),10)</f>
        <v>24189.95</v>
      </c>
      <c r="C125" s="21">
        <f>INDEX(Data!A119:O319,MATCH('Index &amp; Match'!A125,Data!A119:A319,0),11)</f>
        <v>8</v>
      </c>
      <c r="D125" s="21">
        <f>INDEX(Data!A119:O319,MATCH('Index &amp; Match'!A125,Data!A119:A319,0),14)</f>
        <v>7515.77</v>
      </c>
      <c r="E125" s="21" t="str">
        <f>INDEX(Data!A119:O319,MATCH('Index &amp; Match'!A125,Data!A119:A319,0),5)</f>
        <v>Central</v>
      </c>
    </row>
    <row r="126" spans="1:5" x14ac:dyDescent="0.3">
      <c r="A126" s="21" t="s">
        <v>167</v>
      </c>
      <c r="B126" s="21">
        <f>INDEX(Data!A120:O320,MATCH('Index &amp; Match'!A126,Data!A120:A320,0),10)</f>
        <v>25528.2</v>
      </c>
      <c r="C126" s="21">
        <f>INDEX(Data!A120:O320,MATCH('Index &amp; Match'!A126,Data!A120:A320,0),11)</f>
        <v>7</v>
      </c>
      <c r="D126" s="21">
        <f>INDEX(Data!A120:O320,MATCH('Index &amp; Match'!A126,Data!A120:A320,0),14)</f>
        <v>9281.07</v>
      </c>
      <c r="E126" s="21" t="str">
        <f>INDEX(Data!A120:O320,MATCH('Index &amp; Match'!A126,Data!A120:A320,0),5)</f>
        <v>North</v>
      </c>
    </row>
    <row r="127" spans="1:5" x14ac:dyDescent="0.3">
      <c r="A127" s="21" t="s">
        <v>168</v>
      </c>
      <c r="B127" s="21">
        <f>INDEX(Data!A121:O321,MATCH('Index &amp; Match'!A127,Data!A121:A321,0),10)</f>
        <v>1444.79</v>
      </c>
      <c r="C127" s="21">
        <f>INDEX(Data!A121:O321,MATCH('Index &amp; Match'!A127,Data!A121:A321,0),11)</f>
        <v>11</v>
      </c>
      <c r="D127" s="21">
        <f>INDEX(Data!A121:O321,MATCH('Index &amp; Match'!A127,Data!A121:A321,0),14)</f>
        <v>367.72</v>
      </c>
      <c r="E127" s="21" t="str">
        <f>INDEX(Data!A121:O321,MATCH('Index &amp; Match'!A127,Data!A121:A321,0),5)</f>
        <v>East</v>
      </c>
    </row>
    <row r="128" spans="1:5" x14ac:dyDescent="0.3">
      <c r="A128" s="21" t="s">
        <v>169</v>
      </c>
      <c r="B128" s="21">
        <f>INDEX(Data!A122:O322,MATCH('Index &amp; Match'!A128,Data!A122:A322,0),10)</f>
        <v>4084.41</v>
      </c>
      <c r="C128" s="21">
        <f>INDEX(Data!A122:O322,MATCH('Index &amp; Match'!A128,Data!A122:A322,0),11)</f>
        <v>7</v>
      </c>
      <c r="D128" s="21">
        <f>INDEX(Data!A122:O322,MATCH('Index &amp; Match'!A128,Data!A122:A322,0),14)</f>
        <v>1423.21</v>
      </c>
      <c r="E128" s="21" t="str">
        <f>INDEX(Data!A122:O322,MATCH('Index &amp; Match'!A128,Data!A122:A322,0),5)</f>
        <v>South</v>
      </c>
    </row>
    <row r="129" spans="1:5" x14ac:dyDescent="0.3">
      <c r="A129" s="21" t="s">
        <v>170</v>
      </c>
      <c r="B129" s="21">
        <f>INDEX(Data!A123:O323,MATCH('Index &amp; Match'!A129,Data!A123:A323,0),10)</f>
        <v>21425.19</v>
      </c>
      <c r="C129" s="21">
        <f>INDEX(Data!A123:O323,MATCH('Index &amp; Match'!A129,Data!A123:A323,0),11)</f>
        <v>10</v>
      </c>
      <c r="D129" s="21">
        <f>INDEX(Data!A123:O323,MATCH('Index &amp; Match'!A129,Data!A123:A323,0),14)</f>
        <v>8923.91</v>
      </c>
      <c r="E129" s="21" t="str">
        <f>INDEX(Data!A123:O323,MATCH('Index &amp; Match'!A129,Data!A123:A323,0),5)</f>
        <v>West</v>
      </c>
    </row>
    <row r="130" spans="1:5" x14ac:dyDescent="0.3">
      <c r="A130" s="21" t="s">
        <v>171</v>
      </c>
      <c r="B130" s="21">
        <f>INDEX(Data!A124:O324,MATCH('Index &amp; Match'!A130,Data!A124:A324,0),10)</f>
        <v>15764</v>
      </c>
      <c r="C130" s="21">
        <f>INDEX(Data!A124:O324,MATCH('Index &amp; Match'!A130,Data!A124:A324,0),11)</f>
        <v>4</v>
      </c>
      <c r="D130" s="21">
        <f>INDEX(Data!A124:O324,MATCH('Index &amp; Match'!A130,Data!A124:A324,0),14)</f>
        <v>6094.36</v>
      </c>
      <c r="E130" s="21" t="str">
        <f>INDEX(Data!A124:O324,MATCH('Index &amp; Match'!A130,Data!A124:A324,0),5)</f>
        <v>South</v>
      </c>
    </row>
    <row r="131" spans="1:5" x14ac:dyDescent="0.3">
      <c r="A131" s="21" t="s">
        <v>172</v>
      </c>
      <c r="B131" s="21">
        <f>INDEX(Data!A125:O325,MATCH('Index &amp; Match'!A131,Data!A125:A325,0),10)</f>
        <v>32877.18</v>
      </c>
      <c r="C131" s="21">
        <f>INDEX(Data!A125:O325,MATCH('Index &amp; Match'!A131,Data!A125:A325,0),11)</f>
        <v>7</v>
      </c>
      <c r="D131" s="21">
        <f>INDEX(Data!A125:O325,MATCH('Index &amp; Match'!A131,Data!A125:A325,0),14)</f>
        <v>6950.26</v>
      </c>
      <c r="E131" s="21" t="str">
        <f>INDEX(Data!A125:O325,MATCH('Index &amp; Match'!A131,Data!A125:A325,0),5)</f>
        <v>North</v>
      </c>
    </row>
    <row r="132" spans="1:5" x14ac:dyDescent="0.3">
      <c r="A132" s="21" t="s">
        <v>173</v>
      </c>
      <c r="B132" s="21">
        <f>INDEX(Data!A126:O326,MATCH('Index &amp; Match'!A132,Data!A126:A326,0),10)</f>
        <v>11931.71</v>
      </c>
      <c r="C132" s="21">
        <f>INDEX(Data!A126:O326,MATCH('Index &amp; Match'!A132,Data!A126:A326,0),11)</f>
        <v>2</v>
      </c>
      <c r="D132" s="21">
        <f>INDEX(Data!A126:O326,MATCH('Index &amp; Match'!A132,Data!A126:A326,0),14)</f>
        <v>3729.59</v>
      </c>
      <c r="E132" s="21" t="str">
        <f>INDEX(Data!A126:O326,MATCH('Index &amp; Match'!A132,Data!A126:A326,0),5)</f>
        <v>South</v>
      </c>
    </row>
    <row r="133" spans="1:5" x14ac:dyDescent="0.3">
      <c r="A133" s="21" t="s">
        <v>174</v>
      </c>
      <c r="B133" s="21">
        <f>INDEX(Data!A127:O327,MATCH('Index &amp; Match'!A133,Data!A127:A327,0),10)</f>
        <v>16466.89</v>
      </c>
      <c r="C133" s="21">
        <f>INDEX(Data!A127:O327,MATCH('Index &amp; Match'!A133,Data!A127:A327,0),11)</f>
        <v>4</v>
      </c>
      <c r="D133" s="21">
        <f>INDEX(Data!A127:O327,MATCH('Index &amp; Match'!A133,Data!A127:A327,0),14)</f>
        <v>2529.63</v>
      </c>
      <c r="E133" s="21" t="str">
        <f>INDEX(Data!A127:O327,MATCH('Index &amp; Match'!A133,Data!A127:A327,0),5)</f>
        <v>West</v>
      </c>
    </row>
    <row r="134" spans="1:5" x14ac:dyDescent="0.3">
      <c r="A134" s="21" t="s">
        <v>175</v>
      </c>
      <c r="B134" s="21">
        <f>INDEX(Data!A128:O328,MATCH('Index &amp; Match'!A134,Data!A128:A328,0),10)</f>
        <v>5503.95</v>
      </c>
      <c r="C134" s="21">
        <f>INDEX(Data!A128:O328,MATCH('Index &amp; Match'!A134,Data!A128:A328,0),11)</f>
        <v>10</v>
      </c>
      <c r="D134" s="21">
        <f>INDEX(Data!A128:O328,MATCH('Index &amp; Match'!A134,Data!A128:A328,0),14)</f>
        <v>1610.65</v>
      </c>
      <c r="E134" s="21" t="str">
        <f>INDEX(Data!A128:O328,MATCH('Index &amp; Match'!A134,Data!A128:A328,0),5)</f>
        <v>West</v>
      </c>
    </row>
    <row r="135" spans="1:5" x14ac:dyDescent="0.3">
      <c r="A135" s="21" t="s">
        <v>176</v>
      </c>
      <c r="B135" s="21">
        <f>INDEX(Data!A129:O329,MATCH('Index &amp; Match'!A135,Data!A129:A329,0),10)</f>
        <v>20512.54</v>
      </c>
      <c r="C135" s="21">
        <f>INDEX(Data!A129:O329,MATCH('Index &amp; Match'!A135,Data!A129:A329,0),11)</f>
        <v>7</v>
      </c>
      <c r="D135" s="21">
        <f>INDEX(Data!A129:O329,MATCH('Index &amp; Match'!A135,Data!A129:A329,0),14)</f>
        <v>6820.45</v>
      </c>
      <c r="E135" s="21" t="str">
        <f>INDEX(Data!A129:O329,MATCH('Index &amp; Match'!A135,Data!A129:A329,0),5)</f>
        <v>West</v>
      </c>
    </row>
    <row r="136" spans="1:5" x14ac:dyDescent="0.3">
      <c r="A136" s="21" t="s">
        <v>177</v>
      </c>
      <c r="B136" s="21">
        <f>INDEX(Data!A130:O330,MATCH('Index &amp; Match'!A136,Data!A130:A330,0),10)</f>
        <v>38236.85</v>
      </c>
      <c r="C136" s="21">
        <f>INDEX(Data!A130:O330,MATCH('Index &amp; Match'!A136,Data!A130:A330,0),11)</f>
        <v>7</v>
      </c>
      <c r="D136" s="21">
        <f>INDEX(Data!A130:O330,MATCH('Index &amp; Match'!A136,Data!A130:A330,0),14)</f>
        <v>12323.05</v>
      </c>
      <c r="E136" s="21" t="str">
        <f>INDEX(Data!A130:O330,MATCH('Index &amp; Match'!A136,Data!A130:A330,0),5)</f>
        <v>East</v>
      </c>
    </row>
    <row r="137" spans="1:5" x14ac:dyDescent="0.3">
      <c r="A137" s="21" t="s">
        <v>178</v>
      </c>
      <c r="B137" s="21">
        <f>INDEX(Data!A131:O331,MATCH('Index &amp; Match'!A137,Data!A131:A331,0),10)</f>
        <v>11223.16</v>
      </c>
      <c r="C137" s="21">
        <f>INDEX(Data!A131:O331,MATCH('Index &amp; Match'!A137,Data!A131:A331,0),11)</f>
        <v>7</v>
      </c>
      <c r="D137" s="21">
        <f>INDEX(Data!A131:O331,MATCH('Index &amp; Match'!A137,Data!A131:A331,0),14)</f>
        <v>1772.36</v>
      </c>
      <c r="E137" s="21" t="str">
        <f>INDEX(Data!A131:O331,MATCH('Index &amp; Match'!A137,Data!A131:A331,0),5)</f>
        <v>Central</v>
      </c>
    </row>
    <row r="138" spans="1:5" x14ac:dyDescent="0.3">
      <c r="A138" s="21" t="s">
        <v>179</v>
      </c>
      <c r="B138" s="21">
        <f>INDEX(Data!A132:O332,MATCH('Index &amp; Match'!A138,Data!A132:A332,0),10)</f>
        <v>31800.6</v>
      </c>
      <c r="C138" s="21">
        <f>INDEX(Data!A132:O332,MATCH('Index &amp; Match'!A138,Data!A132:A332,0),11)</f>
        <v>7</v>
      </c>
      <c r="D138" s="21">
        <f>INDEX(Data!A132:O332,MATCH('Index &amp; Match'!A138,Data!A132:A332,0),14)</f>
        <v>6864.24</v>
      </c>
      <c r="E138" s="21" t="str">
        <f>INDEX(Data!A132:O332,MATCH('Index &amp; Match'!A138,Data!A132:A332,0),5)</f>
        <v>East</v>
      </c>
    </row>
    <row r="139" spans="1:5" x14ac:dyDescent="0.3">
      <c r="A139" s="21" t="s">
        <v>180</v>
      </c>
      <c r="B139" s="21">
        <f>INDEX(Data!A133:O333,MATCH('Index &amp; Match'!A139,Data!A133:A333,0),10)</f>
        <v>7227.08</v>
      </c>
      <c r="C139" s="21">
        <f>INDEX(Data!A133:O333,MATCH('Index &amp; Match'!A139,Data!A133:A333,0),11)</f>
        <v>1</v>
      </c>
      <c r="D139" s="21">
        <f>INDEX(Data!A133:O333,MATCH('Index &amp; Match'!A139,Data!A133:A333,0),14)</f>
        <v>2889.3</v>
      </c>
      <c r="E139" s="21" t="str">
        <f>INDEX(Data!A133:O333,MATCH('Index &amp; Match'!A139,Data!A133:A333,0),5)</f>
        <v>North</v>
      </c>
    </row>
    <row r="140" spans="1:5" x14ac:dyDescent="0.3">
      <c r="A140" s="21" t="s">
        <v>181</v>
      </c>
      <c r="B140" s="21">
        <f>INDEX(Data!A134:O334,MATCH('Index &amp; Match'!A140,Data!A134:A334,0),10)</f>
        <v>35527.4</v>
      </c>
      <c r="C140" s="21">
        <f>INDEX(Data!A134:O334,MATCH('Index &amp; Match'!A140,Data!A134:A334,0),11)</f>
        <v>7</v>
      </c>
      <c r="D140" s="21">
        <f>INDEX(Data!A134:O334,MATCH('Index &amp; Match'!A140,Data!A134:A334,0),14)</f>
        <v>10255.549999999999</v>
      </c>
      <c r="E140" s="21" t="str">
        <f>INDEX(Data!A134:O334,MATCH('Index &amp; Match'!A140,Data!A134:A334,0),5)</f>
        <v>East</v>
      </c>
    </row>
    <row r="141" spans="1:5" x14ac:dyDescent="0.3">
      <c r="A141" s="21" t="s">
        <v>182</v>
      </c>
      <c r="B141" s="21">
        <f>INDEX(Data!A135:O335,MATCH('Index &amp; Match'!A141,Data!A135:A335,0),10)</f>
        <v>20895.22</v>
      </c>
      <c r="C141" s="21">
        <f>INDEX(Data!A135:O335,MATCH('Index &amp; Match'!A141,Data!A135:A335,0),11)</f>
        <v>1</v>
      </c>
      <c r="D141" s="21">
        <f>INDEX(Data!A135:O335,MATCH('Index &amp; Match'!A141,Data!A135:A335,0),14)</f>
        <v>5009.1899999999996</v>
      </c>
      <c r="E141" s="21" t="str">
        <f>INDEX(Data!A135:O335,MATCH('Index &amp; Match'!A141,Data!A135:A335,0),5)</f>
        <v>Central</v>
      </c>
    </row>
    <row r="142" spans="1:5" x14ac:dyDescent="0.3">
      <c r="A142" s="21" t="s">
        <v>183</v>
      </c>
      <c r="B142" s="21">
        <f>INDEX(Data!A136:O336,MATCH('Index &amp; Match'!A142,Data!A136:A336,0),10)</f>
        <v>5731.68</v>
      </c>
      <c r="C142" s="21">
        <f>INDEX(Data!A136:O336,MATCH('Index &amp; Match'!A142,Data!A136:A336,0),11)</f>
        <v>7</v>
      </c>
      <c r="D142" s="21">
        <f>INDEX(Data!A136:O336,MATCH('Index &amp; Match'!A142,Data!A136:A336,0),14)</f>
        <v>1041.08</v>
      </c>
      <c r="E142" s="21" t="str">
        <f>INDEX(Data!A136:O336,MATCH('Index &amp; Match'!A142,Data!A136:A336,0),5)</f>
        <v>South</v>
      </c>
    </row>
    <row r="143" spans="1:5" x14ac:dyDescent="0.3">
      <c r="A143" s="21" t="s">
        <v>184</v>
      </c>
      <c r="B143" s="21">
        <f>INDEX(Data!A137:O337,MATCH('Index &amp; Match'!A143,Data!A137:A337,0),10)</f>
        <v>31481.71</v>
      </c>
      <c r="C143" s="21">
        <f>INDEX(Data!A137:O337,MATCH('Index &amp; Match'!A143,Data!A137:A337,0),11)</f>
        <v>6</v>
      </c>
      <c r="D143" s="21">
        <f>INDEX(Data!A137:O337,MATCH('Index &amp; Match'!A143,Data!A137:A337,0),14)</f>
        <v>5147.7</v>
      </c>
      <c r="E143" s="21" t="str">
        <f>INDEX(Data!A137:O337,MATCH('Index &amp; Match'!A143,Data!A137:A337,0),5)</f>
        <v>North</v>
      </c>
    </row>
    <row r="144" spans="1:5" x14ac:dyDescent="0.3">
      <c r="A144" s="21" t="s">
        <v>185</v>
      </c>
      <c r="B144" s="21">
        <f>INDEX(Data!A138:O338,MATCH('Index &amp; Match'!A144,Data!A138:A338,0),10)</f>
        <v>35593.4</v>
      </c>
      <c r="C144" s="21">
        <f>INDEX(Data!A138:O338,MATCH('Index &amp; Match'!A144,Data!A138:A338,0),11)</f>
        <v>7</v>
      </c>
      <c r="D144" s="21">
        <f>INDEX(Data!A138:O338,MATCH('Index &amp; Match'!A144,Data!A138:A338,0),14)</f>
        <v>6574.17</v>
      </c>
      <c r="E144" s="21" t="str">
        <f>INDEX(Data!A138:O338,MATCH('Index &amp; Match'!A144,Data!A138:A338,0),5)</f>
        <v>East</v>
      </c>
    </row>
    <row r="145" spans="1:5" x14ac:dyDescent="0.3">
      <c r="A145" s="21" t="s">
        <v>186</v>
      </c>
      <c r="B145" s="21">
        <f>INDEX(Data!A139:O339,MATCH('Index &amp; Match'!A145,Data!A139:A339,0),10)</f>
        <v>6486.4</v>
      </c>
      <c r="C145" s="21">
        <f>INDEX(Data!A139:O339,MATCH('Index &amp; Match'!A145,Data!A139:A339,0),11)</f>
        <v>11</v>
      </c>
      <c r="D145" s="21">
        <f>INDEX(Data!A139:O339,MATCH('Index &amp; Match'!A145,Data!A139:A339,0),14)</f>
        <v>1455.38</v>
      </c>
      <c r="E145" s="21" t="str">
        <f>INDEX(Data!A139:O339,MATCH('Index &amp; Match'!A145,Data!A139:A339,0),5)</f>
        <v>North</v>
      </c>
    </row>
    <row r="146" spans="1:5" x14ac:dyDescent="0.3">
      <c r="A146" s="21" t="s">
        <v>187</v>
      </c>
      <c r="B146" s="21">
        <f>INDEX(Data!A140:O340,MATCH('Index &amp; Match'!A146,Data!A140:A340,0),10)</f>
        <v>5402.7</v>
      </c>
      <c r="C146" s="21">
        <f>INDEX(Data!A140:O340,MATCH('Index &amp; Match'!A146,Data!A140:A340,0),11)</f>
        <v>11</v>
      </c>
      <c r="D146" s="21">
        <f>INDEX(Data!A140:O340,MATCH('Index &amp; Match'!A146,Data!A140:A340,0),14)</f>
        <v>959.49</v>
      </c>
      <c r="E146" s="21" t="str">
        <f>INDEX(Data!A140:O340,MATCH('Index &amp; Match'!A146,Data!A140:A340,0),5)</f>
        <v>East</v>
      </c>
    </row>
    <row r="147" spans="1:5" x14ac:dyDescent="0.3">
      <c r="A147" s="21" t="s">
        <v>188</v>
      </c>
      <c r="B147" s="21">
        <f>INDEX(Data!A141:O341,MATCH('Index &amp; Match'!A147,Data!A141:A341,0),10)</f>
        <v>10654.43</v>
      </c>
      <c r="C147" s="21">
        <f>INDEX(Data!A141:O341,MATCH('Index &amp; Match'!A147,Data!A141:A341,0),11)</f>
        <v>4</v>
      </c>
      <c r="D147" s="21">
        <f>INDEX(Data!A141:O341,MATCH('Index &amp; Match'!A147,Data!A141:A341,0),14)</f>
        <v>3158.79</v>
      </c>
      <c r="E147" s="21" t="str">
        <f>INDEX(Data!A141:O341,MATCH('Index &amp; Match'!A147,Data!A141:A341,0),5)</f>
        <v>East</v>
      </c>
    </row>
    <row r="148" spans="1:5" x14ac:dyDescent="0.3">
      <c r="A148" s="21" t="s">
        <v>189</v>
      </c>
      <c r="B148" s="21">
        <f>INDEX(Data!A142:O342,MATCH('Index &amp; Match'!A148,Data!A142:A342,0),10)</f>
        <v>20985.98</v>
      </c>
      <c r="C148" s="21">
        <f>INDEX(Data!A142:O342,MATCH('Index &amp; Match'!A148,Data!A142:A342,0),11)</f>
        <v>2</v>
      </c>
      <c r="D148" s="21">
        <f>INDEX(Data!A142:O342,MATCH('Index &amp; Match'!A148,Data!A142:A342,0),14)</f>
        <v>8704.67</v>
      </c>
      <c r="E148" s="21" t="str">
        <f>INDEX(Data!A142:O342,MATCH('Index &amp; Match'!A148,Data!A142:A342,0),5)</f>
        <v>Central</v>
      </c>
    </row>
    <row r="149" spans="1:5" x14ac:dyDescent="0.3">
      <c r="A149" s="21" t="s">
        <v>190</v>
      </c>
      <c r="B149" s="21">
        <f>INDEX(Data!A143:O343,MATCH('Index &amp; Match'!A149,Data!A143:A343,0),10)</f>
        <v>38044.33</v>
      </c>
      <c r="C149" s="21">
        <f>INDEX(Data!A143:O343,MATCH('Index &amp; Match'!A149,Data!A143:A343,0),11)</f>
        <v>5</v>
      </c>
      <c r="D149" s="21">
        <f>INDEX(Data!A143:O343,MATCH('Index &amp; Match'!A149,Data!A143:A343,0),14)</f>
        <v>12478.31</v>
      </c>
      <c r="E149" s="21" t="str">
        <f>INDEX(Data!A143:O343,MATCH('Index &amp; Match'!A149,Data!A143:A343,0),5)</f>
        <v>West</v>
      </c>
    </row>
    <row r="150" spans="1:5" x14ac:dyDescent="0.3">
      <c r="A150" s="21" t="s">
        <v>191</v>
      </c>
      <c r="B150" s="21">
        <f>INDEX(Data!A144:O344,MATCH('Index &amp; Match'!A150,Data!A144:A344,0),10)</f>
        <v>34535.49</v>
      </c>
      <c r="C150" s="21">
        <f>INDEX(Data!A144:O344,MATCH('Index &amp; Match'!A150,Data!A144:A344,0),11)</f>
        <v>6</v>
      </c>
      <c r="D150" s="21">
        <f>INDEX(Data!A144:O344,MATCH('Index &amp; Match'!A150,Data!A144:A344,0),14)</f>
        <v>5331.34</v>
      </c>
      <c r="E150" s="21" t="str">
        <f>INDEX(Data!A144:O344,MATCH('Index &amp; Match'!A150,Data!A144:A344,0),5)</f>
        <v>South</v>
      </c>
    </row>
    <row r="151" spans="1:5" x14ac:dyDescent="0.3">
      <c r="A151" s="21" t="s">
        <v>192</v>
      </c>
      <c r="B151" s="21">
        <f>INDEX(Data!A145:O345,MATCH('Index &amp; Match'!A151,Data!A145:A345,0),10)</f>
        <v>13525.34</v>
      </c>
      <c r="C151" s="21">
        <f>INDEX(Data!A145:O345,MATCH('Index &amp; Match'!A151,Data!A145:A345,0),11)</f>
        <v>10</v>
      </c>
      <c r="D151" s="21">
        <f>INDEX(Data!A145:O345,MATCH('Index &amp; Match'!A151,Data!A145:A345,0),14)</f>
        <v>5313.8</v>
      </c>
      <c r="E151" s="21" t="str">
        <f>INDEX(Data!A145:O345,MATCH('Index &amp; Match'!A151,Data!A145:A345,0),5)</f>
        <v>Central</v>
      </c>
    </row>
    <row r="152" spans="1:5" x14ac:dyDescent="0.3">
      <c r="A152" s="21" t="s">
        <v>193</v>
      </c>
      <c r="B152" s="21">
        <f>INDEX(Data!A146:O346,MATCH('Index &amp; Match'!A152,Data!A146:A346,0),10)</f>
        <v>2260.59</v>
      </c>
      <c r="C152" s="21">
        <f>INDEX(Data!A146:O346,MATCH('Index &amp; Match'!A152,Data!A146:A346,0),11)</f>
        <v>5</v>
      </c>
      <c r="D152" s="21">
        <f>INDEX(Data!A146:O346,MATCH('Index &amp; Match'!A152,Data!A146:A346,0),14)</f>
        <v>438.47</v>
      </c>
      <c r="E152" s="21" t="str">
        <f>INDEX(Data!A146:O346,MATCH('Index &amp; Match'!A152,Data!A146:A346,0),5)</f>
        <v>Central</v>
      </c>
    </row>
    <row r="153" spans="1:5" x14ac:dyDescent="0.3">
      <c r="A153" s="21" t="s">
        <v>194</v>
      </c>
      <c r="B153" s="21">
        <f>INDEX(Data!A147:O347,MATCH('Index &amp; Match'!A153,Data!A147:A347,0),10)</f>
        <v>24151.75</v>
      </c>
      <c r="C153" s="21">
        <f>INDEX(Data!A147:O347,MATCH('Index &amp; Match'!A153,Data!A147:A347,0),11)</f>
        <v>3</v>
      </c>
      <c r="D153" s="21">
        <f>INDEX(Data!A147:O347,MATCH('Index &amp; Match'!A153,Data!A147:A347,0),14)</f>
        <v>7341.49</v>
      </c>
      <c r="E153" s="21" t="str">
        <f>INDEX(Data!A147:O347,MATCH('Index &amp; Match'!A153,Data!A147:A347,0),5)</f>
        <v>South</v>
      </c>
    </row>
    <row r="154" spans="1:5" x14ac:dyDescent="0.3">
      <c r="A154" s="21" t="s">
        <v>195</v>
      </c>
      <c r="B154" s="21">
        <f>INDEX(Data!A148:O348,MATCH('Index &amp; Match'!A154,Data!A148:A348,0),10)</f>
        <v>23330.67</v>
      </c>
      <c r="C154" s="21">
        <f>INDEX(Data!A148:O348,MATCH('Index &amp; Match'!A154,Data!A148:A348,0),11)</f>
        <v>9</v>
      </c>
      <c r="D154" s="21">
        <f>INDEX(Data!A148:O348,MATCH('Index &amp; Match'!A154,Data!A148:A348,0),14)</f>
        <v>9793.08</v>
      </c>
      <c r="E154" s="21" t="str">
        <f>INDEX(Data!A148:O348,MATCH('Index &amp; Match'!A154,Data!A148:A348,0),5)</f>
        <v>South</v>
      </c>
    </row>
    <row r="155" spans="1:5" x14ac:dyDescent="0.3">
      <c r="A155" s="21" t="s">
        <v>196</v>
      </c>
      <c r="B155" s="21">
        <f>INDEX(Data!A149:O349,MATCH('Index &amp; Match'!A155,Data!A149:A349,0),10)</f>
        <v>10268.280000000001</v>
      </c>
      <c r="C155" s="21">
        <f>INDEX(Data!A149:O349,MATCH('Index &amp; Match'!A155,Data!A149:A349,0),11)</f>
        <v>11</v>
      </c>
      <c r="D155" s="21">
        <f>INDEX(Data!A149:O349,MATCH('Index &amp; Match'!A155,Data!A149:A349,0),14)</f>
        <v>1730.16</v>
      </c>
      <c r="E155" s="21" t="str">
        <f>INDEX(Data!A149:O349,MATCH('Index &amp; Match'!A155,Data!A149:A349,0),5)</f>
        <v>South</v>
      </c>
    </row>
    <row r="156" spans="1:5" x14ac:dyDescent="0.3">
      <c r="A156" s="21" t="s">
        <v>197</v>
      </c>
      <c r="B156" s="21">
        <f>INDEX(Data!A150:O350,MATCH('Index &amp; Match'!A156,Data!A150:A350,0),10)</f>
        <v>24459.58</v>
      </c>
      <c r="C156" s="21">
        <f>INDEX(Data!A150:O350,MATCH('Index &amp; Match'!A156,Data!A150:A350,0),11)</f>
        <v>10</v>
      </c>
      <c r="D156" s="21">
        <f>INDEX(Data!A150:O350,MATCH('Index &amp; Match'!A156,Data!A150:A350,0),14)</f>
        <v>10568.18</v>
      </c>
      <c r="E156" s="21" t="str">
        <f>INDEX(Data!A150:O350,MATCH('Index &amp; Match'!A156,Data!A150:A350,0),5)</f>
        <v>Central</v>
      </c>
    </row>
    <row r="157" spans="1:5" x14ac:dyDescent="0.3">
      <c r="A157" s="21" t="s">
        <v>198</v>
      </c>
      <c r="B157" s="21">
        <f>INDEX(Data!A151:O351,MATCH('Index &amp; Match'!A157,Data!A151:A351,0),10)</f>
        <v>39278.5</v>
      </c>
      <c r="C157" s="21">
        <f>INDEX(Data!A151:O351,MATCH('Index &amp; Match'!A157,Data!A151:A351,0),11)</f>
        <v>10</v>
      </c>
      <c r="D157" s="21">
        <f>INDEX(Data!A151:O351,MATCH('Index &amp; Match'!A157,Data!A151:A351,0),14)</f>
        <v>8270.2800000000007</v>
      </c>
      <c r="E157" s="21" t="str">
        <f>INDEX(Data!A151:O351,MATCH('Index &amp; Match'!A157,Data!A151:A351,0),5)</f>
        <v>North</v>
      </c>
    </row>
    <row r="158" spans="1:5" x14ac:dyDescent="0.3">
      <c r="A158" s="21" t="s">
        <v>199</v>
      </c>
      <c r="B158" s="21">
        <f>INDEX(Data!A152:O352,MATCH('Index &amp; Match'!A158,Data!A152:A352,0),10)</f>
        <v>6459.97</v>
      </c>
      <c r="C158" s="21">
        <f>INDEX(Data!A152:O352,MATCH('Index &amp; Match'!A158,Data!A152:A352,0),11)</f>
        <v>1</v>
      </c>
      <c r="D158" s="21">
        <f>INDEX(Data!A152:O352,MATCH('Index &amp; Match'!A158,Data!A152:A352,0),14)</f>
        <v>979.45</v>
      </c>
      <c r="E158" s="21" t="str">
        <f>INDEX(Data!A152:O352,MATCH('Index &amp; Match'!A158,Data!A152:A352,0),5)</f>
        <v>Central</v>
      </c>
    </row>
    <row r="159" spans="1:5" x14ac:dyDescent="0.3">
      <c r="A159" s="21" t="s">
        <v>200</v>
      </c>
      <c r="B159" s="21">
        <f>INDEX(Data!A153:O353,MATCH('Index &amp; Match'!A159,Data!A153:A353,0),10)</f>
        <v>13140.25</v>
      </c>
      <c r="C159" s="21">
        <f>INDEX(Data!A153:O353,MATCH('Index &amp; Match'!A159,Data!A153:A353,0),11)</f>
        <v>10</v>
      </c>
      <c r="D159" s="21">
        <f>INDEX(Data!A153:O353,MATCH('Index &amp; Match'!A159,Data!A153:A353,0),14)</f>
        <v>4533.13</v>
      </c>
      <c r="E159" s="21" t="str">
        <f>INDEX(Data!A153:O353,MATCH('Index &amp; Match'!A159,Data!A153:A353,0),5)</f>
        <v>East</v>
      </c>
    </row>
    <row r="160" spans="1:5" x14ac:dyDescent="0.3">
      <c r="A160" s="21" t="s">
        <v>201</v>
      </c>
      <c r="B160" s="21">
        <f>INDEX(Data!A154:O354,MATCH('Index &amp; Match'!A160,Data!A154:A354,0),10)</f>
        <v>34039</v>
      </c>
      <c r="C160" s="21">
        <f>INDEX(Data!A154:O354,MATCH('Index &amp; Match'!A160,Data!A154:A354,0),11)</f>
        <v>4</v>
      </c>
      <c r="D160" s="21">
        <f>INDEX(Data!A154:O354,MATCH('Index &amp; Match'!A160,Data!A154:A354,0),14)</f>
        <v>11570.84</v>
      </c>
      <c r="E160" s="21" t="str">
        <f>INDEX(Data!A154:O354,MATCH('Index &amp; Match'!A160,Data!A154:A354,0),5)</f>
        <v>Central</v>
      </c>
    </row>
    <row r="161" spans="1:5" x14ac:dyDescent="0.3">
      <c r="A161" s="21" t="s">
        <v>202</v>
      </c>
      <c r="B161" s="21">
        <f>INDEX(Data!A155:O355,MATCH('Index &amp; Match'!A161,Data!A155:A355,0),10)</f>
        <v>7039.66</v>
      </c>
      <c r="C161" s="21">
        <f>INDEX(Data!A155:O355,MATCH('Index &amp; Match'!A161,Data!A155:A355,0),11)</f>
        <v>2</v>
      </c>
      <c r="D161" s="21">
        <f>INDEX(Data!A155:O355,MATCH('Index &amp; Match'!A161,Data!A155:A355,0),14)</f>
        <v>2527.9699999999998</v>
      </c>
      <c r="E161" s="21" t="str">
        <f>INDEX(Data!A155:O355,MATCH('Index &amp; Match'!A161,Data!A155:A355,0),5)</f>
        <v>West</v>
      </c>
    </row>
    <row r="162" spans="1:5" x14ac:dyDescent="0.3">
      <c r="A162" s="21" t="s">
        <v>203</v>
      </c>
      <c r="B162" s="21">
        <f>INDEX(Data!A156:O356,MATCH('Index &amp; Match'!A162,Data!A156:A356,0),10)</f>
        <v>5847.74</v>
      </c>
      <c r="C162" s="21">
        <f>INDEX(Data!A156:O356,MATCH('Index &amp; Match'!A162,Data!A156:A356,0),11)</f>
        <v>2</v>
      </c>
      <c r="D162" s="21">
        <f>INDEX(Data!A156:O356,MATCH('Index &amp; Match'!A162,Data!A156:A356,0),14)</f>
        <v>2281.92</v>
      </c>
      <c r="E162" s="21" t="str">
        <f>INDEX(Data!A156:O356,MATCH('Index &amp; Match'!A162,Data!A156:A356,0),5)</f>
        <v>West</v>
      </c>
    </row>
    <row r="163" spans="1:5" x14ac:dyDescent="0.3">
      <c r="A163" s="21" t="s">
        <v>204</v>
      </c>
      <c r="B163" s="21">
        <f>INDEX(Data!A157:O357,MATCH('Index &amp; Match'!A163,Data!A157:A357,0),10)</f>
        <v>7543.26</v>
      </c>
      <c r="C163" s="21">
        <f>INDEX(Data!A157:O357,MATCH('Index &amp; Match'!A163,Data!A157:A357,0),11)</f>
        <v>11</v>
      </c>
      <c r="D163" s="21">
        <f>INDEX(Data!A157:O357,MATCH('Index &amp; Match'!A163,Data!A157:A357,0),14)</f>
        <v>1810.42</v>
      </c>
      <c r="E163" s="21" t="str">
        <f>INDEX(Data!A157:O357,MATCH('Index &amp; Match'!A163,Data!A157:A357,0),5)</f>
        <v>East</v>
      </c>
    </row>
    <row r="164" spans="1:5" x14ac:dyDescent="0.3">
      <c r="A164" s="21" t="s">
        <v>205</v>
      </c>
      <c r="B164" s="21">
        <f>INDEX(Data!A158:O358,MATCH('Index &amp; Match'!A164,Data!A158:A358,0),10)</f>
        <v>30972.14</v>
      </c>
      <c r="C164" s="21">
        <f>INDEX(Data!A158:O358,MATCH('Index &amp; Match'!A164,Data!A158:A358,0),11)</f>
        <v>6</v>
      </c>
      <c r="D164" s="21">
        <f>INDEX(Data!A158:O358,MATCH('Index &amp; Match'!A164,Data!A158:A358,0),14)</f>
        <v>13822.7</v>
      </c>
      <c r="E164" s="21" t="str">
        <f>INDEX(Data!A158:O358,MATCH('Index &amp; Match'!A164,Data!A158:A358,0),5)</f>
        <v>Central</v>
      </c>
    </row>
    <row r="165" spans="1:5" x14ac:dyDescent="0.3">
      <c r="A165" s="21" t="s">
        <v>206</v>
      </c>
      <c r="B165" s="21">
        <f>INDEX(Data!A159:O359,MATCH('Index &amp; Match'!A165,Data!A159:A359,0),10)</f>
        <v>5795.26</v>
      </c>
      <c r="C165" s="21">
        <f>INDEX(Data!A159:O359,MATCH('Index &amp; Match'!A165,Data!A159:A359,0),11)</f>
        <v>2</v>
      </c>
      <c r="D165" s="21">
        <f>INDEX(Data!A159:O359,MATCH('Index &amp; Match'!A165,Data!A159:A359,0),14)</f>
        <v>2539.36</v>
      </c>
      <c r="E165" s="21" t="str">
        <f>INDEX(Data!A159:O359,MATCH('Index &amp; Match'!A165,Data!A159:A359,0),5)</f>
        <v>West</v>
      </c>
    </row>
    <row r="166" spans="1:5" x14ac:dyDescent="0.3">
      <c r="A166" s="21" t="s">
        <v>207</v>
      </c>
      <c r="B166" s="21">
        <f>INDEX(Data!A160:O360,MATCH('Index &amp; Match'!A166,Data!A160:A360,0),10)</f>
        <v>4372.08</v>
      </c>
      <c r="C166" s="21">
        <f>INDEX(Data!A160:O360,MATCH('Index &amp; Match'!A166,Data!A160:A360,0),11)</f>
        <v>1</v>
      </c>
      <c r="D166" s="21">
        <f>INDEX(Data!A160:O360,MATCH('Index &amp; Match'!A166,Data!A160:A360,0),14)</f>
        <v>1721.74</v>
      </c>
      <c r="E166" s="21" t="str">
        <f>INDEX(Data!A160:O360,MATCH('Index &amp; Match'!A166,Data!A160:A360,0),5)</f>
        <v>East</v>
      </c>
    </row>
    <row r="167" spans="1:5" x14ac:dyDescent="0.3">
      <c r="A167" s="21" t="s">
        <v>208</v>
      </c>
      <c r="B167" s="21">
        <f>INDEX(Data!A161:O361,MATCH('Index &amp; Match'!A167,Data!A161:A361,0),10)</f>
        <v>25376.720000000001</v>
      </c>
      <c r="C167" s="21">
        <f>INDEX(Data!A161:O361,MATCH('Index &amp; Match'!A167,Data!A161:A361,0),11)</f>
        <v>9</v>
      </c>
      <c r="D167" s="21">
        <f>INDEX(Data!A161:O361,MATCH('Index &amp; Match'!A167,Data!A161:A361,0),14)</f>
        <v>5673.43</v>
      </c>
      <c r="E167" s="21" t="str">
        <f>INDEX(Data!A161:O361,MATCH('Index &amp; Match'!A167,Data!A161:A361,0),5)</f>
        <v>Central</v>
      </c>
    </row>
    <row r="168" spans="1:5" x14ac:dyDescent="0.3">
      <c r="A168" s="21" t="s">
        <v>209</v>
      </c>
      <c r="B168" s="21">
        <f>INDEX(Data!A162:O362,MATCH('Index &amp; Match'!A168,Data!A162:A362,0),10)</f>
        <v>30859.74</v>
      </c>
      <c r="C168" s="21">
        <f>INDEX(Data!A162:O362,MATCH('Index &amp; Match'!A168,Data!A162:A362,0),11)</f>
        <v>4</v>
      </c>
      <c r="D168" s="21">
        <f>INDEX(Data!A162:O362,MATCH('Index &amp; Match'!A168,Data!A162:A362,0),14)</f>
        <v>8042.71</v>
      </c>
      <c r="E168" s="21" t="str">
        <f>INDEX(Data!A162:O362,MATCH('Index &amp; Match'!A168,Data!A162:A362,0),5)</f>
        <v>South</v>
      </c>
    </row>
    <row r="169" spans="1:5" x14ac:dyDescent="0.3">
      <c r="A169" s="21" t="s">
        <v>210</v>
      </c>
      <c r="B169" s="21">
        <f>INDEX(Data!A163:O363,MATCH('Index &amp; Match'!A169,Data!A163:A363,0),10)</f>
        <v>30448.78</v>
      </c>
      <c r="C169" s="21">
        <f>INDEX(Data!A163:O363,MATCH('Index &amp; Match'!A169,Data!A163:A363,0),11)</f>
        <v>2</v>
      </c>
      <c r="D169" s="21">
        <f>INDEX(Data!A163:O363,MATCH('Index &amp; Match'!A169,Data!A163:A363,0),14)</f>
        <v>6231.32</v>
      </c>
      <c r="E169" s="21" t="str">
        <f>INDEX(Data!A163:O363,MATCH('Index &amp; Match'!A169,Data!A163:A363,0),5)</f>
        <v>North</v>
      </c>
    </row>
    <row r="170" spans="1:5" x14ac:dyDescent="0.3">
      <c r="A170" s="21" t="s">
        <v>211</v>
      </c>
      <c r="B170" s="21">
        <f>INDEX(Data!A164:O364,MATCH('Index &amp; Match'!A170,Data!A164:A364,0),10)</f>
        <v>17777.63</v>
      </c>
      <c r="C170" s="21">
        <f>INDEX(Data!A164:O364,MATCH('Index &amp; Match'!A170,Data!A164:A364,0),11)</f>
        <v>7</v>
      </c>
      <c r="D170" s="21">
        <f>INDEX(Data!A164:O364,MATCH('Index &amp; Match'!A170,Data!A164:A364,0),14)</f>
        <v>3747.39</v>
      </c>
      <c r="E170" s="21" t="str">
        <f>INDEX(Data!A164:O364,MATCH('Index &amp; Match'!A170,Data!A164:A364,0),5)</f>
        <v>West</v>
      </c>
    </row>
    <row r="171" spans="1:5" x14ac:dyDescent="0.3">
      <c r="A171" s="21" t="s">
        <v>212</v>
      </c>
      <c r="B171" s="21">
        <f>INDEX(Data!A165:O365,MATCH('Index &amp; Match'!A171,Data!A165:A365,0),10)</f>
        <v>36730.730000000003</v>
      </c>
      <c r="C171" s="21">
        <f>INDEX(Data!A165:O365,MATCH('Index &amp; Match'!A171,Data!A165:A365,0),11)</f>
        <v>11</v>
      </c>
      <c r="D171" s="21">
        <f>INDEX(Data!A165:O365,MATCH('Index &amp; Match'!A171,Data!A165:A365,0),14)</f>
        <v>16060.54</v>
      </c>
      <c r="E171" s="21" t="str">
        <f>INDEX(Data!A165:O365,MATCH('Index &amp; Match'!A171,Data!A165:A365,0),5)</f>
        <v>East</v>
      </c>
    </row>
    <row r="172" spans="1:5" x14ac:dyDescent="0.3">
      <c r="A172" s="21" t="s">
        <v>213</v>
      </c>
      <c r="B172" s="21">
        <f>INDEX(Data!A166:O366,MATCH('Index &amp; Match'!A172,Data!A166:A366,0),10)</f>
        <v>6714.31</v>
      </c>
      <c r="C172" s="21">
        <f>INDEX(Data!A166:O366,MATCH('Index &amp; Match'!A172,Data!A166:A366,0),11)</f>
        <v>3</v>
      </c>
      <c r="D172" s="21">
        <f>INDEX(Data!A166:O366,MATCH('Index &amp; Match'!A172,Data!A166:A366,0),14)</f>
        <v>1143.5999999999999</v>
      </c>
      <c r="E172" s="21" t="str">
        <f>INDEX(Data!A166:O366,MATCH('Index &amp; Match'!A172,Data!A166:A366,0),5)</f>
        <v>East</v>
      </c>
    </row>
    <row r="173" spans="1:5" x14ac:dyDescent="0.3">
      <c r="A173" s="21" t="s">
        <v>214</v>
      </c>
      <c r="B173" s="21">
        <f>INDEX(Data!A167:O367,MATCH('Index &amp; Match'!A173,Data!A167:A367,0),10)</f>
        <v>18107.64</v>
      </c>
      <c r="C173" s="21">
        <f>INDEX(Data!A167:O367,MATCH('Index &amp; Match'!A173,Data!A167:A367,0),11)</f>
        <v>10</v>
      </c>
      <c r="D173" s="21">
        <f>INDEX(Data!A167:O367,MATCH('Index &amp; Match'!A173,Data!A167:A367,0),14)</f>
        <v>3952.79</v>
      </c>
      <c r="E173" s="21" t="str">
        <f>INDEX(Data!A167:O367,MATCH('Index &amp; Match'!A173,Data!A167:A367,0),5)</f>
        <v>North</v>
      </c>
    </row>
    <row r="174" spans="1:5" x14ac:dyDescent="0.3">
      <c r="A174" s="21" t="s">
        <v>215</v>
      </c>
      <c r="B174" s="21">
        <f>INDEX(Data!A168:O368,MATCH('Index &amp; Match'!A174,Data!A168:A368,0),10)</f>
        <v>15276.06</v>
      </c>
      <c r="C174" s="21">
        <f>INDEX(Data!A168:O368,MATCH('Index &amp; Match'!A174,Data!A168:A368,0),11)</f>
        <v>11</v>
      </c>
      <c r="D174" s="21">
        <f>INDEX(Data!A168:O368,MATCH('Index &amp; Match'!A174,Data!A168:A368,0),14)</f>
        <v>2465.66</v>
      </c>
      <c r="E174" s="21" t="str">
        <f>INDEX(Data!A168:O368,MATCH('Index &amp; Match'!A174,Data!A168:A368,0),5)</f>
        <v>South</v>
      </c>
    </row>
    <row r="175" spans="1:5" x14ac:dyDescent="0.3">
      <c r="A175" s="21" t="s">
        <v>216</v>
      </c>
      <c r="B175" s="21">
        <f>INDEX(Data!A169:O369,MATCH('Index &amp; Match'!A175,Data!A169:A369,0),10)</f>
        <v>22210.49</v>
      </c>
      <c r="C175" s="21">
        <f>INDEX(Data!A169:O369,MATCH('Index &amp; Match'!A175,Data!A169:A369,0),11)</f>
        <v>9</v>
      </c>
      <c r="D175" s="21">
        <f>INDEX(Data!A169:O369,MATCH('Index &amp; Match'!A175,Data!A169:A369,0),14)</f>
        <v>9136.58</v>
      </c>
      <c r="E175" s="21" t="str">
        <f>INDEX(Data!A169:O369,MATCH('Index &amp; Match'!A175,Data!A169:A369,0),5)</f>
        <v>West</v>
      </c>
    </row>
    <row r="176" spans="1:5" x14ac:dyDescent="0.3">
      <c r="A176" s="21" t="s">
        <v>217</v>
      </c>
      <c r="B176" s="21">
        <f>INDEX(Data!A170:O370,MATCH('Index &amp; Match'!A176,Data!A170:A370,0),10)</f>
        <v>8375.8799999999992</v>
      </c>
      <c r="C176" s="21">
        <f>INDEX(Data!A170:O370,MATCH('Index &amp; Match'!A176,Data!A170:A370,0),11)</f>
        <v>6</v>
      </c>
      <c r="D176" s="21">
        <f>INDEX(Data!A170:O370,MATCH('Index &amp; Match'!A176,Data!A170:A370,0),14)</f>
        <v>2462.21</v>
      </c>
      <c r="E176" s="21" t="str">
        <f>INDEX(Data!A170:O370,MATCH('Index &amp; Match'!A176,Data!A170:A370,0),5)</f>
        <v>East</v>
      </c>
    </row>
    <row r="177" spans="1:5" x14ac:dyDescent="0.3">
      <c r="A177" s="21" t="s">
        <v>218</v>
      </c>
      <c r="B177" s="21">
        <f>INDEX(Data!A171:O371,MATCH('Index &amp; Match'!A177,Data!A171:A371,0),10)</f>
        <v>6567.22</v>
      </c>
      <c r="C177" s="21">
        <f>INDEX(Data!A171:O371,MATCH('Index &amp; Match'!A177,Data!A171:A371,0),11)</f>
        <v>3</v>
      </c>
      <c r="D177" s="21">
        <f>INDEX(Data!A171:O371,MATCH('Index &amp; Match'!A177,Data!A171:A371,0),14)</f>
        <v>2419.1</v>
      </c>
      <c r="E177" s="21" t="str">
        <f>INDEX(Data!A171:O371,MATCH('Index &amp; Match'!A177,Data!A171:A371,0),5)</f>
        <v>East</v>
      </c>
    </row>
    <row r="178" spans="1:5" x14ac:dyDescent="0.3">
      <c r="A178" s="21" t="s">
        <v>219</v>
      </c>
      <c r="B178" s="21">
        <f>INDEX(Data!A172:O372,MATCH('Index &amp; Match'!A178,Data!A172:A372,0),10)</f>
        <v>39347.65</v>
      </c>
      <c r="C178" s="21">
        <f>INDEX(Data!A172:O372,MATCH('Index &amp; Match'!A178,Data!A172:A372,0),11)</f>
        <v>3</v>
      </c>
      <c r="D178" s="21">
        <f>INDEX(Data!A172:O372,MATCH('Index &amp; Match'!A178,Data!A172:A372,0),14)</f>
        <v>13172.75</v>
      </c>
      <c r="E178" s="21" t="str">
        <f>INDEX(Data!A172:O372,MATCH('Index &amp; Match'!A178,Data!A172:A372,0),5)</f>
        <v>East</v>
      </c>
    </row>
    <row r="179" spans="1:5" x14ac:dyDescent="0.3">
      <c r="A179" s="21" t="s">
        <v>220</v>
      </c>
      <c r="B179" s="21">
        <f>INDEX(Data!A173:O373,MATCH('Index &amp; Match'!A179,Data!A173:A373,0),10)</f>
        <v>12643.35</v>
      </c>
      <c r="C179" s="21">
        <f>INDEX(Data!A173:O373,MATCH('Index &amp; Match'!A179,Data!A173:A373,0),11)</f>
        <v>4</v>
      </c>
      <c r="D179" s="21">
        <f>INDEX(Data!A173:O373,MATCH('Index &amp; Match'!A179,Data!A173:A373,0),14)</f>
        <v>2757.21</v>
      </c>
      <c r="E179" s="21" t="str">
        <f>INDEX(Data!A173:O373,MATCH('Index &amp; Match'!A179,Data!A173:A373,0),5)</f>
        <v>Central</v>
      </c>
    </row>
    <row r="180" spans="1:5" x14ac:dyDescent="0.3">
      <c r="A180" s="21" t="s">
        <v>221</v>
      </c>
      <c r="B180" s="21">
        <f>INDEX(Data!A174:O374,MATCH('Index &amp; Match'!A180,Data!A174:A374,0),10)</f>
        <v>20388.310000000001</v>
      </c>
      <c r="C180" s="21">
        <f>INDEX(Data!A174:O374,MATCH('Index &amp; Match'!A180,Data!A174:A374,0),11)</f>
        <v>5</v>
      </c>
      <c r="D180" s="21">
        <f>INDEX(Data!A174:O374,MATCH('Index &amp; Match'!A180,Data!A174:A374,0),14)</f>
        <v>6542.42</v>
      </c>
      <c r="E180" s="21" t="str">
        <f>INDEX(Data!A174:O374,MATCH('Index &amp; Match'!A180,Data!A174:A374,0),5)</f>
        <v>West</v>
      </c>
    </row>
    <row r="181" spans="1:5" x14ac:dyDescent="0.3">
      <c r="A181" s="21" t="s">
        <v>222</v>
      </c>
      <c r="B181" s="21">
        <f>INDEX(Data!A175:O375,MATCH('Index &amp; Match'!A181,Data!A175:A375,0),10)</f>
        <v>36717.72</v>
      </c>
      <c r="C181" s="21">
        <f>INDEX(Data!A175:O375,MATCH('Index &amp; Match'!A181,Data!A175:A375,0),11)</f>
        <v>9</v>
      </c>
      <c r="D181" s="21">
        <f>INDEX(Data!A175:O375,MATCH('Index &amp; Match'!A181,Data!A175:A375,0),14)</f>
        <v>9676.2999999999993</v>
      </c>
      <c r="E181" s="21" t="str">
        <f>INDEX(Data!A175:O375,MATCH('Index &amp; Match'!A181,Data!A175:A375,0),5)</f>
        <v>Central</v>
      </c>
    </row>
    <row r="182" spans="1:5" x14ac:dyDescent="0.3">
      <c r="A182" s="21" t="s">
        <v>223</v>
      </c>
      <c r="B182" s="21">
        <f>INDEX(Data!A176:O376,MATCH('Index &amp; Match'!A182,Data!A176:A376,0),10)</f>
        <v>12663.95</v>
      </c>
      <c r="C182" s="21">
        <f>INDEX(Data!A176:O376,MATCH('Index &amp; Match'!A182,Data!A176:A376,0),11)</f>
        <v>8</v>
      </c>
      <c r="D182" s="21">
        <f>INDEX(Data!A176:O376,MATCH('Index &amp; Match'!A182,Data!A176:A376,0),14)</f>
        <v>2622.64</v>
      </c>
      <c r="E182" s="21" t="str">
        <f>INDEX(Data!A176:O376,MATCH('Index &amp; Match'!A182,Data!A176:A376,0),5)</f>
        <v>North</v>
      </c>
    </row>
    <row r="183" spans="1:5" x14ac:dyDescent="0.3">
      <c r="A183" s="21" t="s">
        <v>224</v>
      </c>
      <c r="B183" s="21">
        <f>INDEX(Data!A177:O377,MATCH('Index &amp; Match'!A183,Data!A177:A377,0),10)</f>
        <v>15170.56</v>
      </c>
      <c r="C183" s="21">
        <f>INDEX(Data!A177:O377,MATCH('Index &amp; Match'!A183,Data!A177:A377,0),11)</f>
        <v>1</v>
      </c>
      <c r="D183" s="21">
        <f>INDEX(Data!A177:O377,MATCH('Index &amp; Match'!A183,Data!A177:A377,0),14)</f>
        <v>4565.6899999999996</v>
      </c>
      <c r="E183" s="21" t="str">
        <f>INDEX(Data!A177:O377,MATCH('Index &amp; Match'!A183,Data!A177:A377,0),5)</f>
        <v>East</v>
      </c>
    </row>
    <row r="184" spans="1:5" x14ac:dyDescent="0.3">
      <c r="A184" s="21" t="s">
        <v>225</v>
      </c>
      <c r="B184" s="21">
        <f>INDEX(Data!A178:O378,MATCH('Index &amp; Match'!A184,Data!A178:A378,0),10)</f>
        <v>22875.68</v>
      </c>
      <c r="C184" s="21">
        <f>INDEX(Data!A178:O378,MATCH('Index &amp; Match'!A184,Data!A178:A378,0),11)</f>
        <v>6</v>
      </c>
      <c r="D184" s="21">
        <f>INDEX(Data!A178:O378,MATCH('Index &amp; Match'!A184,Data!A178:A378,0),14)</f>
        <v>9279.2099999999991</v>
      </c>
      <c r="E184" s="21" t="str">
        <f>INDEX(Data!A178:O378,MATCH('Index &amp; Match'!A184,Data!A178:A378,0),5)</f>
        <v>East</v>
      </c>
    </row>
    <row r="185" spans="1:5" x14ac:dyDescent="0.3">
      <c r="A185" s="21" t="s">
        <v>226</v>
      </c>
      <c r="B185" s="21">
        <f>INDEX(Data!A179:O379,MATCH('Index &amp; Match'!A185,Data!A179:A379,0),10)</f>
        <v>3468.05</v>
      </c>
      <c r="C185" s="21">
        <f>INDEX(Data!A179:O379,MATCH('Index &amp; Match'!A185,Data!A179:A379,0),11)</f>
        <v>7</v>
      </c>
      <c r="D185" s="21">
        <f>INDEX(Data!A179:O379,MATCH('Index &amp; Match'!A185,Data!A179:A379,0),14)</f>
        <v>1411.61</v>
      </c>
      <c r="E185" s="21" t="str">
        <f>INDEX(Data!A179:O379,MATCH('Index &amp; Match'!A185,Data!A179:A379,0),5)</f>
        <v>North</v>
      </c>
    </row>
    <row r="186" spans="1:5" x14ac:dyDescent="0.3">
      <c r="A186" s="21" t="s">
        <v>227</v>
      </c>
      <c r="B186" s="21">
        <f>INDEX(Data!A180:O380,MATCH('Index &amp; Match'!A186,Data!A180:A380,0),10)</f>
        <v>1716.38</v>
      </c>
      <c r="C186" s="21">
        <f>INDEX(Data!A180:O380,MATCH('Index &amp; Match'!A186,Data!A180:A380,0),11)</f>
        <v>3</v>
      </c>
      <c r="D186" s="21">
        <f>INDEX(Data!A180:O380,MATCH('Index &amp; Match'!A186,Data!A180:A380,0),14)</f>
        <v>368.13</v>
      </c>
      <c r="E186" s="21" t="str">
        <f>INDEX(Data!A180:O380,MATCH('Index &amp; Match'!A186,Data!A180:A380,0),5)</f>
        <v>East</v>
      </c>
    </row>
    <row r="187" spans="1:5" x14ac:dyDescent="0.3">
      <c r="A187" s="21" t="s">
        <v>228</v>
      </c>
      <c r="B187" s="21">
        <f>INDEX(Data!A181:O381,MATCH('Index &amp; Match'!A187,Data!A181:A381,0),10)</f>
        <v>25604.14</v>
      </c>
      <c r="C187" s="21">
        <f>INDEX(Data!A181:O381,MATCH('Index &amp; Match'!A187,Data!A181:A381,0),11)</f>
        <v>6</v>
      </c>
      <c r="D187" s="21">
        <f>INDEX(Data!A181:O381,MATCH('Index &amp; Match'!A187,Data!A181:A381,0),14)</f>
        <v>9025.94</v>
      </c>
      <c r="E187" s="21" t="str">
        <f>INDEX(Data!A181:O381,MATCH('Index &amp; Match'!A187,Data!A181:A381,0),5)</f>
        <v>North</v>
      </c>
    </row>
    <row r="188" spans="1:5" x14ac:dyDescent="0.3">
      <c r="A188" s="21" t="s">
        <v>229</v>
      </c>
      <c r="B188" s="21">
        <f>INDEX(Data!A182:O382,MATCH('Index &amp; Match'!A188,Data!A182:A382,0),10)</f>
        <v>15338.55</v>
      </c>
      <c r="C188" s="21">
        <f>INDEX(Data!A182:O382,MATCH('Index &amp; Match'!A188,Data!A182:A382,0),11)</f>
        <v>9</v>
      </c>
      <c r="D188" s="21">
        <f>INDEX(Data!A182:O382,MATCH('Index &amp; Match'!A188,Data!A182:A382,0),14)</f>
        <v>4077.95</v>
      </c>
      <c r="E188" s="21" t="str">
        <f>INDEX(Data!A182:O382,MATCH('Index &amp; Match'!A188,Data!A182:A382,0),5)</f>
        <v>East</v>
      </c>
    </row>
    <row r="189" spans="1:5" x14ac:dyDescent="0.3">
      <c r="A189" s="21" t="s">
        <v>230</v>
      </c>
      <c r="B189" s="21">
        <f>INDEX(Data!A183:O383,MATCH('Index &amp; Match'!A189,Data!A183:A383,0),10)</f>
        <v>3916.45</v>
      </c>
      <c r="C189" s="21">
        <f>INDEX(Data!A183:O383,MATCH('Index &amp; Match'!A189,Data!A183:A383,0),11)</f>
        <v>9</v>
      </c>
      <c r="D189" s="21">
        <f>INDEX(Data!A183:O383,MATCH('Index &amp; Match'!A189,Data!A183:A383,0),14)</f>
        <v>760.86</v>
      </c>
      <c r="E189" s="21" t="str">
        <f>INDEX(Data!A183:O383,MATCH('Index &amp; Match'!A189,Data!A183:A383,0),5)</f>
        <v>North</v>
      </c>
    </row>
    <row r="190" spans="1:5" x14ac:dyDescent="0.3">
      <c r="A190" s="21" t="s">
        <v>231</v>
      </c>
      <c r="B190" s="21">
        <f>INDEX(Data!A184:O384,MATCH('Index &amp; Match'!A190,Data!A184:A384,0),10)</f>
        <v>12036.2</v>
      </c>
      <c r="C190" s="21">
        <f>INDEX(Data!A184:O384,MATCH('Index &amp; Match'!A190,Data!A184:A384,0),11)</f>
        <v>11</v>
      </c>
      <c r="D190" s="21">
        <f>INDEX(Data!A184:O384,MATCH('Index &amp; Match'!A190,Data!A184:A384,0),14)</f>
        <v>3065.27</v>
      </c>
      <c r="E190" s="21" t="str">
        <f>INDEX(Data!A184:O384,MATCH('Index &amp; Match'!A190,Data!A184:A384,0),5)</f>
        <v>Central</v>
      </c>
    </row>
    <row r="191" spans="1:5" x14ac:dyDescent="0.3">
      <c r="A191" s="21" t="s">
        <v>232</v>
      </c>
      <c r="B191" s="21">
        <f>INDEX(Data!A185:O385,MATCH('Index &amp; Match'!A191,Data!A185:A385,0),10)</f>
        <v>27983.49</v>
      </c>
      <c r="C191" s="21">
        <f>INDEX(Data!A185:O385,MATCH('Index &amp; Match'!A191,Data!A185:A385,0),11)</f>
        <v>5</v>
      </c>
      <c r="D191" s="21">
        <f>INDEX(Data!A185:O385,MATCH('Index &amp; Match'!A191,Data!A185:A385,0),14)</f>
        <v>6109.67</v>
      </c>
      <c r="E191" s="21" t="str">
        <f>INDEX(Data!A185:O385,MATCH('Index &amp; Match'!A191,Data!A185:A385,0),5)</f>
        <v>North</v>
      </c>
    </row>
    <row r="192" spans="1:5" x14ac:dyDescent="0.3">
      <c r="A192" s="21" t="s">
        <v>233</v>
      </c>
      <c r="B192" s="21">
        <f>INDEX(Data!A186:O386,MATCH('Index &amp; Match'!A192,Data!A186:A386,0),10)</f>
        <v>30576.58</v>
      </c>
      <c r="C192" s="21">
        <f>INDEX(Data!A186:O386,MATCH('Index &amp; Match'!A192,Data!A186:A386,0),11)</f>
        <v>11</v>
      </c>
      <c r="D192" s="21">
        <f>INDEX(Data!A186:O386,MATCH('Index &amp; Match'!A192,Data!A186:A386,0),14)</f>
        <v>5766.75</v>
      </c>
      <c r="E192" s="21" t="str">
        <f>INDEX(Data!A186:O386,MATCH('Index &amp; Match'!A192,Data!A186:A386,0),5)</f>
        <v>Central</v>
      </c>
    </row>
    <row r="193" spans="1:5" x14ac:dyDescent="0.3">
      <c r="A193" s="21" t="s">
        <v>234</v>
      </c>
      <c r="B193" s="21">
        <f>INDEX(Data!A187:O387,MATCH('Index &amp; Match'!A193,Data!A187:A387,0),10)</f>
        <v>20611.53</v>
      </c>
      <c r="C193" s="21">
        <f>INDEX(Data!A187:O387,MATCH('Index &amp; Match'!A193,Data!A187:A387,0),11)</f>
        <v>4</v>
      </c>
      <c r="D193" s="21">
        <f>INDEX(Data!A187:O387,MATCH('Index &amp; Match'!A193,Data!A187:A387,0),14)</f>
        <v>7005.04</v>
      </c>
      <c r="E193" s="21" t="str">
        <f>INDEX(Data!A187:O387,MATCH('Index &amp; Match'!A193,Data!A187:A387,0),5)</f>
        <v>South</v>
      </c>
    </row>
    <row r="194" spans="1:5" x14ac:dyDescent="0.3">
      <c r="A194" s="21" t="s">
        <v>235</v>
      </c>
      <c r="B194" s="21">
        <f>INDEX(Data!A188:O388,MATCH('Index &amp; Match'!A194,Data!A188:A388,0),10)</f>
        <v>9453.9500000000007</v>
      </c>
      <c r="C194" s="21">
        <f>INDEX(Data!A188:O388,MATCH('Index &amp; Match'!A194,Data!A188:A388,0),11)</f>
        <v>4</v>
      </c>
      <c r="D194" s="21">
        <f>INDEX(Data!A188:O388,MATCH('Index &amp; Match'!A194,Data!A188:A388,0),14)</f>
        <v>4010.25</v>
      </c>
      <c r="E194" s="21" t="str">
        <f>INDEX(Data!A188:O388,MATCH('Index &amp; Match'!A194,Data!A188:A388,0),5)</f>
        <v>Central</v>
      </c>
    </row>
    <row r="195" spans="1:5" x14ac:dyDescent="0.3">
      <c r="A195" s="21" t="s">
        <v>236</v>
      </c>
      <c r="B195" s="21">
        <f>INDEX(Data!A189:O389,MATCH('Index &amp; Match'!A195,Data!A189:A389,0),10)</f>
        <v>33708.239999999998</v>
      </c>
      <c r="C195" s="21">
        <f>INDEX(Data!A189:O389,MATCH('Index &amp; Match'!A195,Data!A189:A389,0),11)</f>
        <v>11</v>
      </c>
      <c r="D195" s="21">
        <f>INDEX(Data!A189:O389,MATCH('Index &amp; Match'!A195,Data!A189:A389,0),14)</f>
        <v>13429.09</v>
      </c>
      <c r="E195" s="21" t="str">
        <f>INDEX(Data!A189:O389,MATCH('Index &amp; Match'!A195,Data!A189:A389,0),5)</f>
        <v>Central</v>
      </c>
    </row>
    <row r="196" spans="1:5" x14ac:dyDescent="0.3">
      <c r="A196" s="21" t="s">
        <v>237</v>
      </c>
      <c r="B196" s="21">
        <f>INDEX(Data!A190:O390,MATCH('Index &amp; Match'!A196,Data!A190:A390,0),10)</f>
        <v>8941.57</v>
      </c>
      <c r="C196" s="21">
        <f>INDEX(Data!A190:O390,MATCH('Index &amp; Match'!A196,Data!A190:A390,0),11)</f>
        <v>6</v>
      </c>
      <c r="D196" s="21">
        <f>INDEX(Data!A190:O390,MATCH('Index &amp; Match'!A196,Data!A190:A390,0),14)</f>
        <v>2569.52</v>
      </c>
      <c r="E196" s="21" t="str">
        <f>INDEX(Data!A190:O390,MATCH('Index &amp; Match'!A196,Data!A190:A390,0),5)</f>
        <v>South</v>
      </c>
    </row>
    <row r="197" spans="1:5" x14ac:dyDescent="0.3">
      <c r="A197" s="21" t="s">
        <v>238</v>
      </c>
      <c r="B197" s="21">
        <f>INDEX(Data!A191:O391,MATCH('Index &amp; Match'!A197,Data!A191:A391,0),10)</f>
        <v>30471.09</v>
      </c>
      <c r="C197" s="21">
        <f>INDEX(Data!A191:O391,MATCH('Index &amp; Match'!A197,Data!A191:A391,0),11)</f>
        <v>2</v>
      </c>
      <c r="D197" s="21">
        <f>INDEX(Data!A191:O391,MATCH('Index &amp; Match'!A197,Data!A191:A391,0),14)</f>
        <v>9282.7800000000007</v>
      </c>
      <c r="E197" s="21" t="str">
        <f>INDEX(Data!A191:O391,MATCH('Index &amp; Match'!A197,Data!A191:A391,0),5)</f>
        <v>North</v>
      </c>
    </row>
    <row r="198" spans="1:5" x14ac:dyDescent="0.3">
      <c r="A198" s="21" t="s">
        <v>239</v>
      </c>
      <c r="B198" s="21">
        <f>INDEX(Data!A192:O392,MATCH('Index &amp; Match'!A198,Data!A192:A392,0),10)</f>
        <v>6806.38</v>
      </c>
      <c r="C198" s="21">
        <f>INDEX(Data!A192:O392,MATCH('Index &amp; Match'!A198,Data!A192:A392,0),11)</f>
        <v>2</v>
      </c>
      <c r="D198" s="21">
        <f>INDEX(Data!A192:O392,MATCH('Index &amp; Match'!A198,Data!A192:A392,0),14)</f>
        <v>1818.65</v>
      </c>
      <c r="E198" s="21" t="str">
        <f>INDEX(Data!A192:O392,MATCH('Index &amp; Match'!A198,Data!A192:A392,0),5)</f>
        <v>South</v>
      </c>
    </row>
    <row r="199" spans="1:5" x14ac:dyDescent="0.3">
      <c r="A199" s="21" t="s">
        <v>240</v>
      </c>
      <c r="B199" s="21">
        <f>INDEX(Data!A193:O393,MATCH('Index &amp; Match'!A199,Data!A193:A393,0),10)</f>
        <v>37446.239999999998</v>
      </c>
      <c r="C199" s="21">
        <f>INDEX(Data!A193:O393,MATCH('Index &amp; Match'!A199,Data!A193:A393,0),11)</f>
        <v>5</v>
      </c>
      <c r="D199" s="21">
        <f>INDEX(Data!A193:O393,MATCH('Index &amp; Match'!A199,Data!A193:A393,0),14)</f>
        <v>8817.8799999999992</v>
      </c>
      <c r="E199" s="21" t="str">
        <f>INDEX(Data!A193:O393,MATCH('Index &amp; Match'!A199,Data!A193:A393,0),5)</f>
        <v>North</v>
      </c>
    </row>
    <row r="200" spans="1:5" x14ac:dyDescent="0.3">
      <c r="A200" s="21" t="s">
        <v>241</v>
      </c>
      <c r="B200" s="21">
        <f>INDEX(Data!A194:O394,MATCH('Index &amp; Match'!A200,Data!A194:A394,0),10)</f>
        <v>31116.13</v>
      </c>
      <c r="C200" s="21">
        <f>INDEX(Data!A194:O394,MATCH('Index &amp; Match'!A200,Data!A194:A394,0),11)</f>
        <v>1</v>
      </c>
      <c r="D200" s="21">
        <f>INDEX(Data!A194:O394,MATCH('Index &amp; Match'!A200,Data!A194:A394,0),14)</f>
        <v>7092.75</v>
      </c>
      <c r="E200" s="21" t="str">
        <f>INDEX(Data!A194:O394,MATCH('Index &amp; Match'!A200,Data!A194:A394,0),5)</f>
        <v>East</v>
      </c>
    </row>
    <row r="201" spans="1:5" x14ac:dyDescent="0.3">
      <c r="A201" s="21" t="s">
        <v>242</v>
      </c>
      <c r="B201" s="21">
        <f>INDEX(Data!A195:O395,MATCH('Index &amp; Match'!A201,Data!A195:A395,0),10)</f>
        <v>20448.599999999999</v>
      </c>
      <c r="C201" s="21">
        <f>INDEX(Data!A195:O395,MATCH('Index &amp; Match'!A201,Data!A195:A395,0),11)</f>
        <v>7</v>
      </c>
      <c r="D201" s="21">
        <f>INDEX(Data!A195:O395,MATCH('Index &amp; Match'!A201,Data!A195:A395,0),14)</f>
        <v>8741.48</v>
      </c>
      <c r="E201" s="21" t="str">
        <f>INDEX(Data!A195:O395,MATCH('Index &amp; Match'!A201,Data!A195:A395,0),5)</f>
        <v>East</v>
      </c>
    </row>
    <row r="202" spans="1:5" x14ac:dyDescent="0.3">
      <c r="A202" s="21" t="s">
        <v>243</v>
      </c>
      <c r="B202" s="21">
        <f>INDEX(Data!A196:O396,MATCH('Index &amp; Match'!A202,Data!A196:A396,0),10)</f>
        <v>17819.509999999998</v>
      </c>
      <c r="C202" s="21">
        <f>INDEX(Data!A196:O396,MATCH('Index &amp; Match'!A202,Data!A196:A396,0),11)</f>
        <v>10</v>
      </c>
      <c r="D202" s="21">
        <f>INDEX(Data!A196:O396,MATCH('Index &amp; Match'!A202,Data!A196:A396,0),14)</f>
        <v>5954.2</v>
      </c>
      <c r="E202" s="21" t="str">
        <f>INDEX(Data!A196:O396,MATCH('Index &amp; Match'!A202,Data!A196:A396,0),5)</f>
        <v>North</v>
      </c>
    </row>
    <row r="203" spans="1:5" x14ac:dyDescent="0.3">
      <c r="A203" s="21" t="s">
        <v>244</v>
      </c>
      <c r="B203" s="21">
        <f>INDEX(Data!A197:O397,MATCH('Index &amp; Match'!A203,Data!A197:A397,0),10)</f>
        <v>23260.65</v>
      </c>
      <c r="C203" s="21">
        <f>INDEX(Data!A197:O397,MATCH('Index &amp; Match'!A203,Data!A197:A397,0),11)</f>
        <v>7</v>
      </c>
      <c r="D203" s="21">
        <f>INDEX(Data!A197:O397,MATCH('Index &amp; Match'!A203,Data!A197:A397,0),14)</f>
        <v>10351.66</v>
      </c>
      <c r="E203" s="21" t="str">
        <f>INDEX(Data!A197:O397,MATCH('Index &amp; Match'!A203,Data!A197:A397,0),5)</f>
        <v>East</v>
      </c>
    </row>
    <row r="204" spans="1:5" x14ac:dyDescent="0.3">
      <c r="A204" s="21" t="s">
        <v>245</v>
      </c>
      <c r="B204" s="21">
        <f>INDEX(Data!A198:O398,MATCH('Index &amp; Match'!A204,Data!A198:A398,0),10)</f>
        <v>26715.68</v>
      </c>
      <c r="C204" s="21">
        <f>INDEX(Data!A198:O398,MATCH('Index &amp; Match'!A204,Data!A198:A398,0),11)</f>
        <v>2</v>
      </c>
      <c r="D204" s="21">
        <f>INDEX(Data!A198:O398,MATCH('Index &amp; Match'!A204,Data!A198:A398,0),14)</f>
        <v>7018.67</v>
      </c>
      <c r="E204" s="21" t="str">
        <f>INDEX(Data!A198:O398,MATCH('Index &amp; Match'!A204,Data!A198:A398,0),5)</f>
        <v>Central</v>
      </c>
    </row>
    <row r="205" spans="1:5" x14ac:dyDescent="0.3">
      <c r="A205" s="21" t="s">
        <v>246</v>
      </c>
      <c r="B205" s="21">
        <f>INDEX(Data!A199:O399,MATCH('Index &amp; Match'!A205,Data!A199:A399,0),10)</f>
        <v>22669</v>
      </c>
      <c r="C205" s="21">
        <f>INDEX(Data!A199:O399,MATCH('Index &amp; Match'!A205,Data!A199:A399,0),11)</f>
        <v>3</v>
      </c>
      <c r="D205" s="21">
        <f>INDEX(Data!A199:O399,MATCH('Index &amp; Match'!A205,Data!A199:A399,0),14)</f>
        <v>4549.34</v>
      </c>
      <c r="E205" s="21" t="str">
        <f>INDEX(Data!A199:O399,MATCH('Index &amp; Match'!A205,Data!A199:A399,0),5)</f>
        <v>Central</v>
      </c>
    </row>
    <row r="206" spans="1:5" x14ac:dyDescent="0.3">
      <c r="A206" s="21" t="s">
        <v>247</v>
      </c>
      <c r="B206" s="21">
        <f>INDEX(Data!A200:O400,MATCH('Index &amp; Match'!A206,Data!A200:A400,0),10)</f>
        <v>28076.03</v>
      </c>
      <c r="C206" s="21">
        <f>INDEX(Data!A200:O400,MATCH('Index &amp; Match'!A206,Data!A200:A400,0),11)</f>
        <v>2</v>
      </c>
      <c r="D206" s="21">
        <f>INDEX(Data!A200:O400,MATCH('Index &amp; Match'!A206,Data!A200:A400,0),14)</f>
        <v>11707.53</v>
      </c>
      <c r="E206" s="21" t="str">
        <f>INDEX(Data!A200:O400,MATCH('Index &amp; Match'!A206,Data!A200:A400,0),5)</f>
        <v>South</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4DB9C-81F1-412D-8800-A2B22F78B5E8}">
  <dimension ref="A3:K206"/>
  <sheetViews>
    <sheetView workbookViewId="0">
      <selection activeCell="M7" sqref="M7"/>
    </sheetView>
  </sheetViews>
  <sheetFormatPr defaultRowHeight="14.4" x14ac:dyDescent="0.3"/>
  <sheetData>
    <row r="3" spans="1:11" x14ac:dyDescent="0.3">
      <c r="A3" s="33" t="s">
        <v>274</v>
      </c>
      <c r="B3" s="33"/>
      <c r="C3" s="33"/>
      <c r="D3" s="33"/>
      <c r="E3" s="33"/>
      <c r="F3" s="33"/>
      <c r="G3" s="33"/>
      <c r="H3" s="33"/>
      <c r="I3" s="33"/>
      <c r="J3" s="33"/>
      <c r="K3" s="33"/>
    </row>
    <row r="6" spans="1:11" x14ac:dyDescent="0.3">
      <c r="A6" s="13" t="s">
        <v>0</v>
      </c>
      <c r="B6" s="13" t="s">
        <v>9</v>
      </c>
      <c r="C6" s="13" t="s">
        <v>4</v>
      </c>
      <c r="D6" s="13" t="s">
        <v>5</v>
      </c>
      <c r="E6" s="13" t="s">
        <v>10</v>
      </c>
      <c r="F6" s="13" t="s">
        <v>13</v>
      </c>
      <c r="G6" s="13" t="s">
        <v>248</v>
      </c>
    </row>
    <row r="7" spans="1:11" x14ac:dyDescent="0.3">
      <c r="A7" s="14" t="s">
        <v>14</v>
      </c>
      <c r="B7" s="14">
        <f>VLOOKUP(A7,Data!$A$1:$N$201,10,0)</f>
        <v>20012.71</v>
      </c>
      <c r="C7" s="14" t="str">
        <f>VLOOKUP(A7,Data!$A$1:$N$201,5,0)</f>
        <v>North</v>
      </c>
      <c r="D7" s="14" t="str">
        <f>VLOOKUP(A7,Data!$A$1:$N$201,6,0)</f>
        <v>UK</v>
      </c>
      <c r="E7" s="14">
        <f>VLOOKUP(A7,Data!$A$1:$N$201,11,0)</f>
        <v>6</v>
      </c>
      <c r="F7" s="14">
        <f>VLOOKUP(A7,Data!A1:N201,14,0)</f>
        <v>4906.33</v>
      </c>
      <c r="G7" s="14">
        <f>VLOOKUP(A7,Data!$A$1:$O$201,15,0)</f>
        <v>3335.4516666666664</v>
      </c>
    </row>
    <row r="8" spans="1:11" x14ac:dyDescent="0.3">
      <c r="A8" s="14" t="s">
        <v>21</v>
      </c>
      <c r="B8" s="14">
        <f>VLOOKUP(A8,Data!$A$1:$N$201,10,0)</f>
        <v>32526.73</v>
      </c>
      <c r="C8" s="14" t="str">
        <f>VLOOKUP(A8,Data!$A$1:$N$201,5,0)</f>
        <v>East</v>
      </c>
      <c r="D8" s="14" t="str">
        <f>VLOOKUP(A8,Data!$A$1:$N$201,6,0)</f>
        <v>India</v>
      </c>
      <c r="E8" s="14">
        <f>VLOOKUP(A8,Data!$A$1:$N$201,11,0)</f>
        <v>6</v>
      </c>
      <c r="F8" s="14">
        <f>VLOOKUP(A8,Data!A2:N202,14,0)</f>
        <v>8954.1</v>
      </c>
      <c r="G8" s="14">
        <f>VLOOKUP(A8,Data!$A$1:$O$201,15,0)</f>
        <v>5421.1216666666669</v>
      </c>
    </row>
    <row r="9" spans="1:11" x14ac:dyDescent="0.3">
      <c r="A9" s="14" t="s">
        <v>26</v>
      </c>
      <c r="B9" s="14">
        <f>VLOOKUP(A9,Data!$A$1:$N$201,10,0)</f>
        <v>4927.51</v>
      </c>
      <c r="C9" s="14" t="str">
        <f>VLOOKUP(A9,Data!$A$1:$N$201,5,0)</f>
        <v>Central</v>
      </c>
      <c r="D9" s="14" t="str">
        <f>VLOOKUP(A9,Data!$A$1:$N$201,6,0)</f>
        <v>India</v>
      </c>
      <c r="E9" s="14">
        <f>VLOOKUP(A9,Data!$A$1:$N$201,11,0)</f>
        <v>1</v>
      </c>
      <c r="F9" s="14">
        <f>VLOOKUP(A9,Data!A3:N203,14,0)</f>
        <v>849.13</v>
      </c>
      <c r="G9" s="14">
        <f>VLOOKUP(A9,Data!$A$1:$O$201,15,0)</f>
        <v>4927.51</v>
      </c>
    </row>
    <row r="10" spans="1:11" x14ac:dyDescent="0.3">
      <c r="A10" s="14" t="s">
        <v>31</v>
      </c>
      <c r="B10" s="14">
        <f>VLOOKUP(A10,Data!$A$1:$N$201,10,0)</f>
        <v>38088.83</v>
      </c>
      <c r="C10" s="14" t="str">
        <f>VLOOKUP(A10,Data!$A$1:$N$201,5,0)</f>
        <v>North</v>
      </c>
      <c r="D10" s="14" t="str">
        <f>VLOOKUP(A10,Data!$A$1:$N$201,6,0)</f>
        <v>UK</v>
      </c>
      <c r="E10" s="14">
        <f>VLOOKUP(A10,Data!$A$1:$N$201,11,0)</f>
        <v>2</v>
      </c>
      <c r="F10" s="14">
        <f>VLOOKUP(A10,Data!A4:N204,14,0)</f>
        <v>10876.52</v>
      </c>
      <c r="G10" s="14">
        <f>VLOOKUP(A10,Data!$A$1:$O$201,15,0)</f>
        <v>19044.415000000001</v>
      </c>
    </row>
    <row r="11" spans="1:11" x14ac:dyDescent="0.3">
      <c r="A11" s="14" t="s">
        <v>33</v>
      </c>
      <c r="B11" s="14">
        <f>VLOOKUP(A11,Data!$A$1:$N$201,10,0)</f>
        <v>19018.79</v>
      </c>
      <c r="C11" s="14" t="str">
        <f>VLOOKUP(A11,Data!$A$1:$N$201,5,0)</f>
        <v>North</v>
      </c>
      <c r="D11" s="14" t="str">
        <f>VLOOKUP(A11,Data!$A$1:$N$201,6,0)</f>
        <v>Germany</v>
      </c>
      <c r="E11" s="14">
        <f>VLOOKUP(A11,Data!$A$1:$N$201,11,0)</f>
        <v>2</v>
      </c>
      <c r="F11" s="14">
        <f>VLOOKUP(A11,Data!A5:N205,14,0)</f>
        <v>3500.18</v>
      </c>
      <c r="G11" s="14">
        <f>VLOOKUP(A11,Data!$A$1:$O$201,15,0)</f>
        <v>9509.3950000000004</v>
      </c>
    </row>
    <row r="12" spans="1:11" x14ac:dyDescent="0.3">
      <c r="A12" s="14" t="s">
        <v>36</v>
      </c>
      <c r="B12" s="14">
        <f>VLOOKUP(A12,Data!$A$1:$N$201,10,0)</f>
        <v>13800.67</v>
      </c>
      <c r="C12" s="14" t="str">
        <f>VLOOKUP(A12,Data!$A$1:$N$201,5,0)</f>
        <v>Central</v>
      </c>
      <c r="D12" s="14" t="str">
        <f>VLOOKUP(A12,Data!$A$1:$N$201,6,0)</f>
        <v>Australia</v>
      </c>
      <c r="E12" s="14">
        <f>VLOOKUP(A12,Data!$A$1:$N$201,11,0)</f>
        <v>6</v>
      </c>
      <c r="F12" s="14">
        <f>VLOOKUP(A12,Data!A6:N206,14,0)</f>
        <v>4054.21</v>
      </c>
      <c r="G12" s="14">
        <f>VLOOKUP(A12,Data!$A$1:$O$201,15,0)</f>
        <v>2300.1116666666667</v>
      </c>
    </row>
    <row r="13" spans="1:11" x14ac:dyDescent="0.3">
      <c r="A13" s="14" t="s">
        <v>40</v>
      </c>
      <c r="B13" s="14">
        <f>VLOOKUP(A13,Data!$A$1:$N$201,10,0)</f>
        <v>31318.959999999999</v>
      </c>
      <c r="C13" s="14" t="str">
        <f>VLOOKUP(A13,Data!$A$1:$N$201,5,0)</f>
        <v>South</v>
      </c>
      <c r="D13" s="14" t="str">
        <f>VLOOKUP(A13,Data!$A$1:$N$201,6,0)</f>
        <v>USA</v>
      </c>
      <c r="E13" s="14">
        <f>VLOOKUP(A13,Data!$A$1:$N$201,11,0)</f>
        <v>9</v>
      </c>
      <c r="F13" s="14">
        <f>VLOOKUP(A13,Data!A7:N207,14,0)</f>
        <v>6846.84</v>
      </c>
      <c r="G13" s="14">
        <f>VLOOKUP(A13,Data!$A$1:$O$201,15,0)</f>
        <v>3479.8844444444444</v>
      </c>
    </row>
    <row r="14" spans="1:11" x14ac:dyDescent="0.3">
      <c r="A14" s="14" t="s">
        <v>44</v>
      </c>
      <c r="B14" s="14">
        <f>VLOOKUP(A14,Data!$A$1:$N$201,10,0)</f>
        <v>10853.73</v>
      </c>
      <c r="C14" s="14" t="str">
        <f>VLOOKUP(A14,Data!$A$1:$N$201,5,0)</f>
        <v>North</v>
      </c>
      <c r="D14" s="14" t="str">
        <f>VLOOKUP(A14,Data!$A$1:$N$201,6,0)</f>
        <v>Germany</v>
      </c>
      <c r="E14" s="14">
        <f>VLOOKUP(A14,Data!$A$1:$N$201,11,0)</f>
        <v>10</v>
      </c>
      <c r="F14" s="14">
        <f>VLOOKUP(A14,Data!A8:N208,14,0)</f>
        <v>2442.15</v>
      </c>
      <c r="G14" s="14">
        <f>VLOOKUP(A14,Data!$A$1:$O$201,15,0)</f>
        <v>1085.373</v>
      </c>
    </row>
    <row r="15" spans="1:11" x14ac:dyDescent="0.3">
      <c r="A15" s="14" t="s">
        <v>45</v>
      </c>
      <c r="B15" s="14">
        <f>VLOOKUP(A15,Data!$A$1:$N$201,10,0)</f>
        <v>6540.32</v>
      </c>
      <c r="C15" s="14" t="str">
        <f>VLOOKUP(A15,Data!$A$1:$N$201,5,0)</f>
        <v>East</v>
      </c>
      <c r="D15" s="14" t="str">
        <f>VLOOKUP(A15,Data!$A$1:$N$201,6,0)</f>
        <v>India</v>
      </c>
      <c r="E15" s="14">
        <f>VLOOKUP(A15,Data!$A$1:$N$201,11,0)</f>
        <v>3</v>
      </c>
      <c r="F15" s="14">
        <f>VLOOKUP(A15,Data!A9:N209,14,0)</f>
        <v>990.41</v>
      </c>
      <c r="G15" s="14">
        <f>VLOOKUP(A15,Data!$A$1:$O$201,15,0)</f>
        <v>2180.1066666666666</v>
      </c>
    </row>
    <row r="16" spans="1:11" x14ac:dyDescent="0.3">
      <c r="A16" s="14" t="s">
        <v>46</v>
      </c>
      <c r="B16" s="14">
        <f>VLOOKUP(A16,Data!$A$1:$N$201,10,0)</f>
        <v>10918.37</v>
      </c>
      <c r="C16" s="14" t="str">
        <f>VLOOKUP(A16,Data!$A$1:$N$201,5,0)</f>
        <v>North</v>
      </c>
      <c r="D16" s="14" t="str">
        <f>VLOOKUP(A16,Data!$A$1:$N$201,6,0)</f>
        <v>Australia</v>
      </c>
      <c r="E16" s="14">
        <f>VLOOKUP(A16,Data!$A$1:$N$201,11,0)</f>
        <v>4</v>
      </c>
      <c r="F16" s="14">
        <f>VLOOKUP(A16,Data!A10:N210,14,0)</f>
        <v>4305.16</v>
      </c>
      <c r="G16" s="14">
        <f>VLOOKUP(A16,Data!$A$1:$O$201,15,0)</f>
        <v>2729.5925000000002</v>
      </c>
    </row>
    <row r="17" spans="1:7" x14ac:dyDescent="0.3">
      <c r="A17" s="14" t="s">
        <v>48</v>
      </c>
      <c r="B17" s="14">
        <f>VLOOKUP(A17,Data!$A$1:$N$201,10,0)</f>
        <v>27163.21</v>
      </c>
      <c r="C17" s="14" t="str">
        <f>VLOOKUP(A17,Data!$A$1:$N$201,5,0)</f>
        <v>West</v>
      </c>
      <c r="D17" s="14" t="str">
        <f>VLOOKUP(A17,Data!$A$1:$N$201,6,0)</f>
        <v>Australia</v>
      </c>
      <c r="E17" s="14">
        <f>VLOOKUP(A17,Data!$A$1:$N$201,11,0)</f>
        <v>10</v>
      </c>
      <c r="F17" s="14">
        <f>VLOOKUP(A17,Data!A11:N211,14,0)</f>
        <v>10074.25</v>
      </c>
      <c r="G17" s="14">
        <f>VLOOKUP(A17,Data!$A$1:$O$201,15,0)</f>
        <v>2716.3209999999999</v>
      </c>
    </row>
    <row r="18" spans="1:7" x14ac:dyDescent="0.3">
      <c r="A18" s="14" t="s">
        <v>50</v>
      </c>
      <c r="B18" s="14">
        <f>VLOOKUP(A18,Data!$A$1:$N$201,10,0)</f>
        <v>4746.18</v>
      </c>
      <c r="C18" s="14" t="str">
        <f>VLOOKUP(A18,Data!$A$1:$N$201,5,0)</f>
        <v>North</v>
      </c>
      <c r="D18" s="14" t="str">
        <f>VLOOKUP(A18,Data!$A$1:$N$201,6,0)</f>
        <v>Germany</v>
      </c>
      <c r="E18" s="14">
        <f>VLOOKUP(A18,Data!$A$1:$N$201,11,0)</f>
        <v>11</v>
      </c>
      <c r="F18" s="14">
        <f>VLOOKUP(A18,Data!A12:N212,14,0)</f>
        <v>1486.12</v>
      </c>
      <c r="G18" s="14">
        <f>VLOOKUP(A18,Data!$A$1:$O$201,15,0)</f>
        <v>431.47090909090912</v>
      </c>
    </row>
    <row r="19" spans="1:7" x14ac:dyDescent="0.3">
      <c r="A19" s="14" t="s">
        <v>53</v>
      </c>
      <c r="B19" s="14">
        <f>VLOOKUP(A19,Data!$A$1:$N$201,10,0)</f>
        <v>18491.32</v>
      </c>
      <c r="C19" s="14" t="str">
        <f>VLOOKUP(A19,Data!$A$1:$N$201,5,0)</f>
        <v>South</v>
      </c>
      <c r="D19" s="14" t="str">
        <f>VLOOKUP(A19,Data!$A$1:$N$201,6,0)</f>
        <v>Germany</v>
      </c>
      <c r="E19" s="14">
        <f>VLOOKUP(A19,Data!$A$1:$N$201,11,0)</f>
        <v>9</v>
      </c>
      <c r="F19" s="14">
        <f>VLOOKUP(A19,Data!A13:N213,14,0)</f>
        <v>4119.8599999999997</v>
      </c>
      <c r="G19" s="14">
        <f>VLOOKUP(A19,Data!$A$1:$O$201,15,0)</f>
        <v>2054.5911111111109</v>
      </c>
    </row>
    <row r="20" spans="1:7" x14ac:dyDescent="0.3">
      <c r="A20" s="14" t="s">
        <v>55</v>
      </c>
      <c r="B20" s="14">
        <f>VLOOKUP(A20,Data!$A$1:$N$201,10,0)</f>
        <v>10033.93</v>
      </c>
      <c r="C20" s="14" t="str">
        <f>VLOOKUP(A20,Data!$A$1:$N$201,5,0)</f>
        <v>West</v>
      </c>
      <c r="D20" s="14" t="str">
        <f>VLOOKUP(A20,Data!$A$1:$N$201,6,0)</f>
        <v>India</v>
      </c>
      <c r="E20" s="14">
        <f>VLOOKUP(A20,Data!$A$1:$N$201,11,0)</f>
        <v>1</v>
      </c>
      <c r="F20" s="14">
        <f>VLOOKUP(A20,Data!A14:N214,14,0)</f>
        <v>4337.4799999999996</v>
      </c>
      <c r="G20" s="14">
        <f>VLOOKUP(A20,Data!$A$1:$O$201,15,0)</f>
        <v>10033.93</v>
      </c>
    </row>
    <row r="21" spans="1:7" x14ac:dyDescent="0.3">
      <c r="A21" s="14" t="s">
        <v>57</v>
      </c>
      <c r="B21" s="14">
        <f>VLOOKUP(A21,Data!$A$1:$N$201,10,0)</f>
        <v>22190.58</v>
      </c>
      <c r="C21" s="14" t="str">
        <f>VLOOKUP(A21,Data!$A$1:$N$201,5,0)</f>
        <v>East</v>
      </c>
      <c r="D21" s="14" t="str">
        <f>VLOOKUP(A21,Data!$A$1:$N$201,6,0)</f>
        <v>Germany</v>
      </c>
      <c r="E21" s="14">
        <f>VLOOKUP(A21,Data!$A$1:$N$201,11,0)</f>
        <v>6</v>
      </c>
      <c r="F21" s="14">
        <f>VLOOKUP(A21,Data!A15:N215,14,0)</f>
        <v>7806.34</v>
      </c>
      <c r="G21" s="14">
        <f>VLOOKUP(A21,Data!$A$1:$O$201,15,0)</f>
        <v>3698.4300000000003</v>
      </c>
    </row>
    <row r="22" spans="1:7" x14ac:dyDescent="0.3">
      <c r="A22" s="14" t="s">
        <v>59</v>
      </c>
      <c r="B22" s="14">
        <f>VLOOKUP(A22,Data!$A$1:$N$201,10,0)</f>
        <v>6220.59</v>
      </c>
      <c r="C22" s="14" t="str">
        <f>VLOOKUP(A22,Data!$A$1:$N$201,5,0)</f>
        <v>North</v>
      </c>
      <c r="D22" s="14" t="str">
        <f>VLOOKUP(A22,Data!$A$1:$N$201,6,0)</f>
        <v>Australia</v>
      </c>
      <c r="E22" s="14">
        <f>VLOOKUP(A22,Data!$A$1:$N$201,11,0)</f>
        <v>11</v>
      </c>
      <c r="F22" s="14">
        <f>VLOOKUP(A22,Data!A16:N216,14,0)</f>
        <v>1205.05</v>
      </c>
      <c r="G22" s="14">
        <f>VLOOKUP(A22,Data!$A$1:$O$201,15,0)</f>
        <v>565.50818181818181</v>
      </c>
    </row>
    <row r="23" spans="1:7" x14ac:dyDescent="0.3">
      <c r="A23" s="14" t="s">
        <v>60</v>
      </c>
      <c r="B23" s="14">
        <f>VLOOKUP(A23,Data!$A$1:$N$201,10,0)</f>
        <v>31139.48</v>
      </c>
      <c r="C23" s="14" t="str">
        <f>VLOOKUP(A23,Data!$A$1:$N$201,5,0)</f>
        <v>North</v>
      </c>
      <c r="D23" s="14" t="str">
        <f>VLOOKUP(A23,Data!$A$1:$N$201,6,0)</f>
        <v>Australia</v>
      </c>
      <c r="E23" s="14">
        <f>VLOOKUP(A23,Data!$A$1:$N$201,11,0)</f>
        <v>5</v>
      </c>
      <c r="F23" s="14">
        <f>VLOOKUP(A23,Data!A17:N217,14,0)</f>
        <v>9364.69</v>
      </c>
      <c r="G23" s="14">
        <f>VLOOKUP(A23,Data!$A$1:$O$201,15,0)</f>
        <v>6227.8959999999997</v>
      </c>
    </row>
    <row r="24" spans="1:7" x14ac:dyDescent="0.3">
      <c r="A24" s="14" t="s">
        <v>61</v>
      </c>
      <c r="B24" s="14">
        <f>VLOOKUP(A24,Data!$A$1:$N$201,10,0)</f>
        <v>37017.370000000003</v>
      </c>
      <c r="C24" s="14" t="str">
        <f>VLOOKUP(A24,Data!$A$1:$N$201,5,0)</f>
        <v>Central</v>
      </c>
      <c r="D24" s="14" t="str">
        <f>VLOOKUP(A24,Data!$A$1:$N$201,6,0)</f>
        <v>UK</v>
      </c>
      <c r="E24" s="14">
        <f>VLOOKUP(A24,Data!$A$1:$N$201,11,0)</f>
        <v>1</v>
      </c>
      <c r="F24" s="14">
        <f>VLOOKUP(A24,Data!A18:N218,14,0)</f>
        <v>12134.94</v>
      </c>
      <c r="G24" s="14">
        <f>VLOOKUP(A24,Data!$A$1:$O$201,15,0)</f>
        <v>37017.370000000003</v>
      </c>
    </row>
    <row r="25" spans="1:7" x14ac:dyDescent="0.3">
      <c r="A25" s="14" t="s">
        <v>63</v>
      </c>
      <c r="B25" s="14">
        <f>VLOOKUP(A25,Data!$A$1:$N$201,10,0)</f>
        <v>13318.88</v>
      </c>
      <c r="C25" s="14" t="str">
        <f>VLOOKUP(A25,Data!$A$1:$N$201,5,0)</f>
        <v>Central</v>
      </c>
      <c r="D25" s="14" t="str">
        <f>VLOOKUP(A25,Data!$A$1:$N$201,6,0)</f>
        <v>USA</v>
      </c>
      <c r="E25" s="14">
        <f>VLOOKUP(A25,Data!$A$1:$N$201,11,0)</f>
        <v>3</v>
      </c>
      <c r="F25" s="14">
        <f>VLOOKUP(A25,Data!A19:N219,14,0)</f>
        <v>2020.21</v>
      </c>
      <c r="G25" s="14">
        <f>VLOOKUP(A25,Data!$A$1:$O$201,15,0)</f>
        <v>4439.6266666666661</v>
      </c>
    </row>
    <row r="26" spans="1:7" x14ac:dyDescent="0.3">
      <c r="A26" s="14" t="s">
        <v>65</v>
      </c>
      <c r="B26" s="14">
        <f>VLOOKUP(A26,Data!$A$1:$N$201,10,0)</f>
        <v>14695.56</v>
      </c>
      <c r="C26" s="14" t="str">
        <f>VLOOKUP(A26,Data!$A$1:$N$201,5,0)</f>
        <v>West</v>
      </c>
      <c r="D26" s="14" t="str">
        <f>VLOOKUP(A26,Data!$A$1:$N$201,6,0)</f>
        <v>UK</v>
      </c>
      <c r="E26" s="14">
        <f>VLOOKUP(A26,Data!$A$1:$N$201,11,0)</f>
        <v>3</v>
      </c>
      <c r="F26" s="14">
        <f>VLOOKUP(A26,Data!A20:N220,14,0)</f>
        <v>2459.94</v>
      </c>
      <c r="G26" s="14">
        <f>VLOOKUP(A26,Data!$A$1:$O$201,15,0)</f>
        <v>4898.5199999999995</v>
      </c>
    </row>
    <row r="27" spans="1:7" x14ac:dyDescent="0.3">
      <c r="A27" s="14" t="s">
        <v>66</v>
      </c>
      <c r="B27" s="14">
        <f>VLOOKUP(A27,Data!$A$1:$N$201,10,0)</f>
        <v>24244.94</v>
      </c>
      <c r="C27" s="14" t="str">
        <f>VLOOKUP(A27,Data!$A$1:$N$201,5,0)</f>
        <v>South</v>
      </c>
      <c r="D27" s="14" t="str">
        <f>VLOOKUP(A27,Data!$A$1:$N$201,6,0)</f>
        <v>UK</v>
      </c>
      <c r="E27" s="14">
        <f>VLOOKUP(A27,Data!$A$1:$N$201,11,0)</f>
        <v>9</v>
      </c>
      <c r="F27" s="14">
        <f>VLOOKUP(A27,Data!A21:N221,14,0)</f>
        <v>7220.56</v>
      </c>
      <c r="G27" s="14">
        <f>VLOOKUP(A27,Data!$A$1:$O$201,15,0)</f>
        <v>2693.882222222222</v>
      </c>
    </row>
    <row r="28" spans="1:7" x14ac:dyDescent="0.3">
      <c r="A28" s="14" t="s">
        <v>68</v>
      </c>
      <c r="B28" s="14">
        <f>VLOOKUP(A28,Data!$A$1:$N$201,10,0)</f>
        <v>29761.68</v>
      </c>
      <c r="C28" s="14" t="str">
        <f>VLOOKUP(A28,Data!$A$1:$N$201,5,0)</f>
        <v>East</v>
      </c>
      <c r="D28" s="14" t="str">
        <f>VLOOKUP(A28,Data!$A$1:$N$201,6,0)</f>
        <v>India</v>
      </c>
      <c r="E28" s="14">
        <f>VLOOKUP(A28,Data!$A$1:$N$201,11,0)</f>
        <v>10</v>
      </c>
      <c r="F28" s="14">
        <f>VLOOKUP(A28,Data!A22:N222,14,0)</f>
        <v>12959.7</v>
      </c>
      <c r="G28" s="14">
        <f>VLOOKUP(A28,Data!$A$1:$O$201,15,0)</f>
        <v>2976.1680000000001</v>
      </c>
    </row>
    <row r="29" spans="1:7" x14ac:dyDescent="0.3">
      <c r="A29" s="14" t="s">
        <v>69</v>
      </c>
      <c r="B29" s="14">
        <f>VLOOKUP(A29,Data!$A$1:$N$201,10,0)</f>
        <v>3084.33</v>
      </c>
      <c r="C29" s="14" t="str">
        <f>VLOOKUP(A29,Data!$A$1:$N$201,5,0)</f>
        <v>Central</v>
      </c>
      <c r="D29" s="14" t="str">
        <f>VLOOKUP(A29,Data!$A$1:$N$201,6,0)</f>
        <v>UK</v>
      </c>
      <c r="E29" s="14">
        <f>VLOOKUP(A29,Data!$A$1:$N$201,11,0)</f>
        <v>4</v>
      </c>
      <c r="F29" s="14">
        <f>VLOOKUP(A29,Data!A23:N223,14,0)</f>
        <v>1083.68</v>
      </c>
      <c r="G29" s="14">
        <f>VLOOKUP(A29,Data!$A$1:$O$201,15,0)</f>
        <v>771.08249999999998</v>
      </c>
    </row>
    <row r="30" spans="1:7" x14ac:dyDescent="0.3">
      <c r="A30" s="14" t="s">
        <v>70</v>
      </c>
      <c r="B30" s="14">
        <f>VLOOKUP(A30,Data!$A$1:$N$201,10,0)</f>
        <v>27251.31</v>
      </c>
      <c r="C30" s="14" t="str">
        <f>VLOOKUP(A30,Data!$A$1:$N$201,5,0)</f>
        <v>North</v>
      </c>
      <c r="D30" s="14" t="str">
        <f>VLOOKUP(A30,Data!$A$1:$N$201,6,0)</f>
        <v>USA</v>
      </c>
      <c r="E30" s="14">
        <f>VLOOKUP(A30,Data!$A$1:$N$201,11,0)</f>
        <v>10</v>
      </c>
      <c r="F30" s="14">
        <f>VLOOKUP(A30,Data!A24:N224,14,0)</f>
        <v>4634.7700000000004</v>
      </c>
      <c r="G30" s="14">
        <f>VLOOKUP(A30,Data!$A$1:$O$201,15,0)</f>
        <v>2725.1310000000003</v>
      </c>
    </row>
    <row r="31" spans="1:7" x14ac:dyDescent="0.3">
      <c r="A31" s="14" t="s">
        <v>71</v>
      </c>
      <c r="B31" s="14">
        <f>VLOOKUP(A31,Data!$A$1:$N$201,10,0)</f>
        <v>32718.53</v>
      </c>
      <c r="C31" s="14" t="str">
        <f>VLOOKUP(A31,Data!$A$1:$N$201,5,0)</f>
        <v>Central</v>
      </c>
      <c r="D31" s="14" t="str">
        <f>VLOOKUP(A31,Data!$A$1:$N$201,6,0)</f>
        <v>India</v>
      </c>
      <c r="E31" s="14">
        <f>VLOOKUP(A31,Data!$A$1:$N$201,11,0)</f>
        <v>7</v>
      </c>
      <c r="F31" s="14">
        <f>VLOOKUP(A31,Data!A25:N225,14,0)</f>
        <v>11922.09</v>
      </c>
      <c r="G31" s="14">
        <f>VLOOKUP(A31,Data!$A$1:$O$201,15,0)</f>
        <v>4674.0757142857137</v>
      </c>
    </row>
    <row r="32" spans="1:7" x14ac:dyDescent="0.3">
      <c r="A32" s="14" t="s">
        <v>72</v>
      </c>
      <c r="B32" s="14">
        <f>VLOOKUP(A32,Data!$A$1:$N$201,10,0)</f>
        <v>31866.83</v>
      </c>
      <c r="C32" s="14" t="str">
        <f>VLOOKUP(A32,Data!$A$1:$N$201,5,0)</f>
        <v>East</v>
      </c>
      <c r="D32" s="14" t="str">
        <f>VLOOKUP(A32,Data!$A$1:$N$201,6,0)</f>
        <v>India</v>
      </c>
      <c r="E32" s="14">
        <f>VLOOKUP(A32,Data!$A$1:$N$201,11,0)</f>
        <v>1</v>
      </c>
      <c r="F32" s="14">
        <f>VLOOKUP(A32,Data!A26:N226,14,0)</f>
        <v>6457.03</v>
      </c>
      <c r="G32" s="14">
        <f>VLOOKUP(A32,Data!$A$1:$O$201,15,0)</f>
        <v>31866.83</v>
      </c>
    </row>
    <row r="33" spans="1:7" x14ac:dyDescent="0.3">
      <c r="A33" s="14" t="s">
        <v>73</v>
      </c>
      <c r="B33" s="14">
        <f>VLOOKUP(A33,Data!$A$1:$N$201,10,0)</f>
        <v>17993.169999999998</v>
      </c>
      <c r="C33" s="14" t="str">
        <f>VLOOKUP(A33,Data!$A$1:$N$201,5,0)</f>
        <v>East</v>
      </c>
      <c r="D33" s="14" t="str">
        <f>VLOOKUP(A33,Data!$A$1:$N$201,6,0)</f>
        <v>Australia</v>
      </c>
      <c r="E33" s="14">
        <f>VLOOKUP(A33,Data!$A$1:$N$201,11,0)</f>
        <v>1</v>
      </c>
      <c r="F33" s="14">
        <f>VLOOKUP(A33,Data!A27:N227,14,0)</f>
        <v>6044.36</v>
      </c>
      <c r="G33" s="14">
        <f>VLOOKUP(A33,Data!$A$1:$O$201,15,0)</f>
        <v>17993.169999999998</v>
      </c>
    </row>
    <row r="34" spans="1:7" x14ac:dyDescent="0.3">
      <c r="A34" s="14" t="s">
        <v>74</v>
      </c>
      <c r="B34" s="14">
        <f>VLOOKUP(A34,Data!$A$1:$N$201,10,0)</f>
        <v>33052.6</v>
      </c>
      <c r="C34" s="14" t="str">
        <f>VLOOKUP(A34,Data!$A$1:$N$201,5,0)</f>
        <v>North</v>
      </c>
      <c r="D34" s="14" t="str">
        <f>VLOOKUP(A34,Data!$A$1:$N$201,6,0)</f>
        <v>Germany</v>
      </c>
      <c r="E34" s="14">
        <f>VLOOKUP(A34,Data!$A$1:$N$201,11,0)</f>
        <v>10</v>
      </c>
      <c r="F34" s="14">
        <f>VLOOKUP(A34,Data!A28:N228,14,0)</f>
        <v>8400.74</v>
      </c>
      <c r="G34" s="14">
        <f>VLOOKUP(A34,Data!$A$1:$O$201,15,0)</f>
        <v>3305.2599999999998</v>
      </c>
    </row>
    <row r="35" spans="1:7" x14ac:dyDescent="0.3">
      <c r="A35" s="14" t="s">
        <v>75</v>
      </c>
      <c r="B35" s="14">
        <f>VLOOKUP(A35,Data!$A$1:$N$201,10,0)</f>
        <v>22245.41</v>
      </c>
      <c r="C35" s="14" t="str">
        <f>VLOOKUP(A35,Data!$A$1:$N$201,5,0)</f>
        <v>West</v>
      </c>
      <c r="D35" s="14" t="str">
        <f>VLOOKUP(A35,Data!$A$1:$N$201,6,0)</f>
        <v>India</v>
      </c>
      <c r="E35" s="14">
        <f>VLOOKUP(A35,Data!$A$1:$N$201,11,0)</f>
        <v>10</v>
      </c>
      <c r="F35" s="14">
        <f>VLOOKUP(A35,Data!A29:N229,14,0)</f>
        <v>7739.13</v>
      </c>
      <c r="G35" s="14">
        <f>VLOOKUP(A35,Data!$A$1:$O$201,15,0)</f>
        <v>2224.5410000000002</v>
      </c>
    </row>
    <row r="36" spans="1:7" x14ac:dyDescent="0.3">
      <c r="A36" s="14" t="s">
        <v>76</v>
      </c>
      <c r="B36" s="14">
        <f>VLOOKUP(A36,Data!$A$1:$N$201,10,0)</f>
        <v>8119.62</v>
      </c>
      <c r="C36" s="14" t="str">
        <f>VLOOKUP(A36,Data!$A$1:$N$201,5,0)</f>
        <v>South</v>
      </c>
      <c r="D36" s="14" t="str">
        <f>VLOOKUP(A36,Data!$A$1:$N$201,6,0)</f>
        <v>Australia</v>
      </c>
      <c r="E36" s="14">
        <f>VLOOKUP(A36,Data!$A$1:$N$201,11,0)</f>
        <v>1</v>
      </c>
      <c r="F36" s="14">
        <f>VLOOKUP(A36,Data!A30:N230,14,0)</f>
        <v>3431.09</v>
      </c>
      <c r="G36" s="14">
        <f>VLOOKUP(A36,Data!$A$1:$O$201,15,0)</f>
        <v>8119.62</v>
      </c>
    </row>
    <row r="37" spans="1:7" x14ac:dyDescent="0.3">
      <c r="A37" s="14" t="s">
        <v>77</v>
      </c>
      <c r="B37" s="14">
        <f>VLOOKUP(A37,Data!$A$1:$N$201,10,0)</f>
        <v>12000.88</v>
      </c>
      <c r="C37" s="14" t="str">
        <f>VLOOKUP(A37,Data!$A$1:$N$201,5,0)</f>
        <v>North</v>
      </c>
      <c r="D37" s="14" t="str">
        <f>VLOOKUP(A37,Data!$A$1:$N$201,6,0)</f>
        <v>Australia</v>
      </c>
      <c r="E37" s="14">
        <f>VLOOKUP(A37,Data!$A$1:$N$201,11,0)</f>
        <v>6</v>
      </c>
      <c r="F37" s="14">
        <f>VLOOKUP(A37,Data!A31:N231,14,0)</f>
        <v>4913.43</v>
      </c>
      <c r="G37" s="14">
        <f>VLOOKUP(A37,Data!$A$1:$O$201,15,0)</f>
        <v>2000.1466666666665</v>
      </c>
    </row>
    <row r="38" spans="1:7" x14ac:dyDescent="0.3">
      <c r="A38" s="14" t="s">
        <v>78</v>
      </c>
      <c r="B38" s="14">
        <f>VLOOKUP(A38,Data!$A$1:$N$201,10,0)</f>
        <v>24035.25</v>
      </c>
      <c r="C38" s="14" t="str">
        <f>VLOOKUP(A38,Data!$A$1:$N$201,5,0)</f>
        <v>West</v>
      </c>
      <c r="D38" s="14" t="str">
        <f>VLOOKUP(A38,Data!$A$1:$N$201,6,0)</f>
        <v>Australia</v>
      </c>
      <c r="E38" s="14">
        <f>VLOOKUP(A38,Data!$A$1:$N$201,11,0)</f>
        <v>11</v>
      </c>
      <c r="F38" s="14">
        <f>VLOOKUP(A38,Data!A32:N232,14,0)</f>
        <v>5919.03</v>
      </c>
      <c r="G38" s="14">
        <f>VLOOKUP(A38,Data!$A$1:$O$201,15,0)</f>
        <v>2185.0227272727275</v>
      </c>
    </row>
    <row r="39" spans="1:7" x14ac:dyDescent="0.3">
      <c r="A39" s="14" t="s">
        <v>79</v>
      </c>
      <c r="B39" s="14">
        <f>VLOOKUP(A39,Data!$A$1:$N$201,10,0)</f>
        <v>22457.01</v>
      </c>
      <c r="C39" s="14" t="str">
        <f>VLOOKUP(A39,Data!$A$1:$N$201,5,0)</f>
        <v>South</v>
      </c>
      <c r="D39" s="14" t="str">
        <f>VLOOKUP(A39,Data!$A$1:$N$201,6,0)</f>
        <v>India</v>
      </c>
      <c r="E39" s="14">
        <f>VLOOKUP(A39,Data!$A$1:$N$201,11,0)</f>
        <v>7</v>
      </c>
      <c r="F39" s="14">
        <f>VLOOKUP(A39,Data!A33:N233,14,0)</f>
        <v>7207.26</v>
      </c>
      <c r="G39" s="14">
        <f>VLOOKUP(A39,Data!$A$1:$O$201,15,0)</f>
        <v>3208.1442857142856</v>
      </c>
    </row>
    <row r="40" spans="1:7" x14ac:dyDescent="0.3">
      <c r="A40" s="14" t="s">
        <v>80</v>
      </c>
      <c r="B40" s="14">
        <f>VLOOKUP(A40,Data!$A$1:$N$201,10,0)</f>
        <v>32245</v>
      </c>
      <c r="C40" s="14" t="str">
        <f>VLOOKUP(A40,Data!$A$1:$N$201,5,0)</f>
        <v>East</v>
      </c>
      <c r="D40" s="14" t="str">
        <f>VLOOKUP(A40,Data!$A$1:$N$201,6,0)</f>
        <v>India</v>
      </c>
      <c r="E40" s="14">
        <f>VLOOKUP(A40,Data!$A$1:$N$201,11,0)</f>
        <v>4</v>
      </c>
      <c r="F40" s="14">
        <f>VLOOKUP(A40,Data!A34:N234,14,0)</f>
        <v>11028.84</v>
      </c>
      <c r="G40" s="14">
        <f>VLOOKUP(A40,Data!$A$1:$O$201,15,0)</f>
        <v>8061.25</v>
      </c>
    </row>
    <row r="41" spans="1:7" x14ac:dyDescent="0.3">
      <c r="A41" s="14" t="s">
        <v>81</v>
      </c>
      <c r="B41" s="14">
        <f>VLOOKUP(A41,Data!$A$1:$N$201,10,0)</f>
        <v>28823.82</v>
      </c>
      <c r="C41" s="14" t="str">
        <f>VLOOKUP(A41,Data!$A$1:$N$201,5,0)</f>
        <v>North</v>
      </c>
      <c r="D41" s="14" t="str">
        <f>VLOOKUP(A41,Data!$A$1:$N$201,6,0)</f>
        <v>UK</v>
      </c>
      <c r="E41" s="14">
        <f>VLOOKUP(A41,Data!$A$1:$N$201,11,0)</f>
        <v>6</v>
      </c>
      <c r="F41" s="14">
        <f>VLOOKUP(A41,Data!A35:N235,14,0)</f>
        <v>6174.03</v>
      </c>
      <c r="G41" s="14">
        <f>VLOOKUP(A41,Data!$A$1:$O$201,15,0)</f>
        <v>4803.97</v>
      </c>
    </row>
    <row r="42" spans="1:7" x14ac:dyDescent="0.3">
      <c r="A42" s="14" t="s">
        <v>82</v>
      </c>
      <c r="B42" s="14">
        <f>VLOOKUP(A42,Data!$A$1:$N$201,10,0)</f>
        <v>9151.9599999999991</v>
      </c>
      <c r="C42" s="14" t="str">
        <f>VLOOKUP(A42,Data!$A$1:$N$201,5,0)</f>
        <v>South</v>
      </c>
      <c r="D42" s="14" t="str">
        <f>VLOOKUP(A42,Data!$A$1:$N$201,6,0)</f>
        <v>Germany</v>
      </c>
      <c r="E42" s="14">
        <f>VLOOKUP(A42,Data!$A$1:$N$201,11,0)</f>
        <v>3</v>
      </c>
      <c r="F42" s="14">
        <f>VLOOKUP(A42,Data!A36:N236,14,0)</f>
        <v>2692.39</v>
      </c>
      <c r="G42" s="14">
        <f>VLOOKUP(A42,Data!$A$1:$O$201,15,0)</f>
        <v>3050.6533333333332</v>
      </c>
    </row>
    <row r="43" spans="1:7" x14ac:dyDescent="0.3">
      <c r="A43" s="14" t="s">
        <v>84</v>
      </c>
      <c r="B43" s="14">
        <f>VLOOKUP(A43,Data!$A$1:$N$201,10,0)</f>
        <v>16377.54</v>
      </c>
      <c r="C43" s="14" t="str">
        <f>VLOOKUP(A43,Data!$A$1:$N$201,5,0)</f>
        <v>West</v>
      </c>
      <c r="D43" s="14" t="str">
        <f>VLOOKUP(A43,Data!$A$1:$N$201,6,0)</f>
        <v>India</v>
      </c>
      <c r="E43" s="14">
        <f>VLOOKUP(A43,Data!$A$1:$N$201,11,0)</f>
        <v>10</v>
      </c>
      <c r="F43" s="14">
        <f>VLOOKUP(A43,Data!A37:N237,14,0)</f>
        <v>5071.3</v>
      </c>
      <c r="G43" s="14">
        <f>VLOOKUP(A43,Data!$A$1:$O$201,15,0)</f>
        <v>1637.7540000000001</v>
      </c>
    </row>
    <row r="44" spans="1:7" x14ac:dyDescent="0.3">
      <c r="A44" s="14" t="s">
        <v>85</v>
      </c>
      <c r="B44" s="14">
        <f>VLOOKUP(A44,Data!$A$1:$N$201,10,0)</f>
        <v>31300.51</v>
      </c>
      <c r="C44" s="14" t="str">
        <f>VLOOKUP(A44,Data!$A$1:$N$201,5,0)</f>
        <v>West</v>
      </c>
      <c r="D44" s="14" t="str">
        <f>VLOOKUP(A44,Data!$A$1:$N$201,6,0)</f>
        <v>Australia</v>
      </c>
      <c r="E44" s="14">
        <f>VLOOKUP(A44,Data!$A$1:$N$201,11,0)</f>
        <v>4</v>
      </c>
      <c r="F44" s="14">
        <f>VLOOKUP(A44,Data!A38:N238,14,0)</f>
        <v>5729.16</v>
      </c>
      <c r="G44" s="14">
        <f>VLOOKUP(A44,Data!$A$1:$O$201,15,0)</f>
        <v>7825.1274999999996</v>
      </c>
    </row>
    <row r="45" spans="1:7" x14ac:dyDescent="0.3">
      <c r="A45" s="14" t="s">
        <v>86</v>
      </c>
      <c r="B45" s="14">
        <f>VLOOKUP(A45,Data!$A$1:$N$201,10,0)</f>
        <v>18758.23</v>
      </c>
      <c r="C45" s="14" t="str">
        <f>VLOOKUP(A45,Data!$A$1:$N$201,5,0)</f>
        <v>Central</v>
      </c>
      <c r="D45" s="14" t="str">
        <f>VLOOKUP(A45,Data!$A$1:$N$201,6,0)</f>
        <v>Germany</v>
      </c>
      <c r="E45" s="14">
        <f>VLOOKUP(A45,Data!$A$1:$N$201,11,0)</f>
        <v>5</v>
      </c>
      <c r="F45" s="14">
        <f>VLOOKUP(A45,Data!A39:N239,14,0)</f>
        <v>6345.96</v>
      </c>
      <c r="G45" s="14">
        <f>VLOOKUP(A45,Data!$A$1:$O$201,15,0)</f>
        <v>3751.6459999999997</v>
      </c>
    </row>
    <row r="46" spans="1:7" x14ac:dyDescent="0.3">
      <c r="A46" s="14" t="s">
        <v>87</v>
      </c>
      <c r="B46" s="14">
        <f>VLOOKUP(A46,Data!$A$1:$N$201,10,0)</f>
        <v>9621.19</v>
      </c>
      <c r="C46" s="14" t="str">
        <f>VLOOKUP(A46,Data!$A$1:$N$201,5,0)</f>
        <v>West</v>
      </c>
      <c r="D46" s="14" t="str">
        <f>VLOOKUP(A46,Data!$A$1:$N$201,6,0)</f>
        <v>UK</v>
      </c>
      <c r="E46" s="14">
        <f>VLOOKUP(A46,Data!$A$1:$N$201,11,0)</f>
        <v>6</v>
      </c>
      <c r="F46" s="14">
        <f>VLOOKUP(A46,Data!A40:N240,14,0)</f>
        <v>2396.98</v>
      </c>
      <c r="G46" s="14">
        <f>VLOOKUP(A46,Data!$A$1:$O$201,15,0)</f>
        <v>1603.5316666666668</v>
      </c>
    </row>
    <row r="47" spans="1:7" x14ac:dyDescent="0.3">
      <c r="A47" s="14" t="s">
        <v>88</v>
      </c>
      <c r="B47" s="14">
        <f>VLOOKUP(A47,Data!$A$1:$N$201,10,0)</f>
        <v>37534.11</v>
      </c>
      <c r="C47" s="14" t="str">
        <f>VLOOKUP(A47,Data!$A$1:$N$201,5,0)</f>
        <v>South</v>
      </c>
      <c r="D47" s="14" t="str">
        <f>VLOOKUP(A47,Data!$A$1:$N$201,6,0)</f>
        <v>Australia</v>
      </c>
      <c r="E47" s="14">
        <f>VLOOKUP(A47,Data!$A$1:$N$201,11,0)</f>
        <v>1</v>
      </c>
      <c r="F47" s="14">
        <f>VLOOKUP(A47,Data!A41:N241,14,0)</f>
        <v>15801.93</v>
      </c>
      <c r="G47" s="14">
        <f>VLOOKUP(A47,Data!$A$1:$O$201,15,0)</f>
        <v>37534.11</v>
      </c>
    </row>
    <row r="48" spans="1:7" x14ac:dyDescent="0.3">
      <c r="A48" s="14" t="s">
        <v>89</v>
      </c>
      <c r="B48" s="14">
        <f>VLOOKUP(A48,Data!$A$1:$N$201,10,0)</f>
        <v>18403.759999999998</v>
      </c>
      <c r="C48" s="14" t="str">
        <f>VLOOKUP(A48,Data!$A$1:$N$201,5,0)</f>
        <v>Central</v>
      </c>
      <c r="D48" s="14" t="str">
        <f>VLOOKUP(A48,Data!$A$1:$N$201,6,0)</f>
        <v>USA</v>
      </c>
      <c r="E48" s="14">
        <f>VLOOKUP(A48,Data!$A$1:$N$201,11,0)</f>
        <v>6</v>
      </c>
      <c r="F48" s="14">
        <f>VLOOKUP(A48,Data!A42:N242,14,0)</f>
        <v>5602.54</v>
      </c>
      <c r="G48" s="14">
        <f>VLOOKUP(A48,Data!$A$1:$O$201,15,0)</f>
        <v>3067.2933333333331</v>
      </c>
    </row>
    <row r="49" spans="1:7" x14ac:dyDescent="0.3">
      <c r="A49" s="14" t="s">
        <v>90</v>
      </c>
      <c r="B49" s="14">
        <f>VLOOKUP(A49,Data!$A$1:$N$201,10,0)</f>
        <v>12902.1</v>
      </c>
      <c r="C49" s="14" t="str">
        <f>VLOOKUP(A49,Data!$A$1:$N$201,5,0)</f>
        <v>West</v>
      </c>
      <c r="D49" s="14" t="str">
        <f>VLOOKUP(A49,Data!$A$1:$N$201,6,0)</f>
        <v>USA</v>
      </c>
      <c r="E49" s="14">
        <f>VLOOKUP(A49,Data!$A$1:$N$201,11,0)</f>
        <v>8</v>
      </c>
      <c r="F49" s="14">
        <f>VLOOKUP(A49,Data!A43:N243,14,0)</f>
        <v>4348.3599999999997</v>
      </c>
      <c r="G49" s="14">
        <f>VLOOKUP(A49,Data!$A$1:$O$201,15,0)</f>
        <v>1612.7625</v>
      </c>
    </row>
    <row r="50" spans="1:7" x14ac:dyDescent="0.3">
      <c r="A50" s="14" t="s">
        <v>91</v>
      </c>
      <c r="B50" s="14">
        <f>VLOOKUP(A50,Data!$A$1:$N$201,10,0)</f>
        <v>20841.32</v>
      </c>
      <c r="C50" s="14" t="str">
        <f>VLOOKUP(A50,Data!$A$1:$N$201,5,0)</f>
        <v>Central</v>
      </c>
      <c r="D50" s="14" t="str">
        <f>VLOOKUP(A50,Data!$A$1:$N$201,6,0)</f>
        <v>Australia</v>
      </c>
      <c r="E50" s="14">
        <f>VLOOKUP(A50,Data!$A$1:$N$201,11,0)</f>
        <v>6</v>
      </c>
      <c r="F50" s="14">
        <f>VLOOKUP(A50,Data!A44:N244,14,0)</f>
        <v>7063.37</v>
      </c>
      <c r="G50" s="14">
        <f>VLOOKUP(A50,Data!$A$1:$O$201,15,0)</f>
        <v>3473.5533333333333</v>
      </c>
    </row>
    <row r="51" spans="1:7" x14ac:dyDescent="0.3">
      <c r="A51" s="14" t="s">
        <v>92</v>
      </c>
      <c r="B51" s="14">
        <f>VLOOKUP(A51,Data!$A$1:$N$201,10,0)</f>
        <v>12596</v>
      </c>
      <c r="C51" s="14" t="str">
        <f>VLOOKUP(A51,Data!$A$1:$N$201,5,0)</f>
        <v>North</v>
      </c>
      <c r="D51" s="14" t="str">
        <f>VLOOKUP(A51,Data!$A$1:$N$201,6,0)</f>
        <v>USA</v>
      </c>
      <c r="E51" s="14">
        <f>VLOOKUP(A51,Data!$A$1:$N$201,11,0)</f>
        <v>7</v>
      </c>
      <c r="F51" s="14">
        <f>VLOOKUP(A51,Data!A45:N245,14,0)</f>
        <v>2124.71</v>
      </c>
      <c r="G51" s="14">
        <f>VLOOKUP(A51,Data!$A$1:$O$201,15,0)</f>
        <v>1799.4285714285713</v>
      </c>
    </row>
    <row r="52" spans="1:7" x14ac:dyDescent="0.3">
      <c r="A52" s="14" t="s">
        <v>93</v>
      </c>
      <c r="B52" s="14">
        <f>VLOOKUP(A52,Data!$A$1:$N$201,10,0)</f>
        <v>11399.04</v>
      </c>
      <c r="C52" s="14" t="str">
        <f>VLOOKUP(A52,Data!$A$1:$N$201,5,0)</f>
        <v>South</v>
      </c>
      <c r="D52" s="14" t="str">
        <f>VLOOKUP(A52,Data!$A$1:$N$201,6,0)</f>
        <v>USA</v>
      </c>
      <c r="E52" s="14">
        <f>VLOOKUP(A52,Data!$A$1:$N$201,11,0)</f>
        <v>8</v>
      </c>
      <c r="F52" s="14">
        <f>VLOOKUP(A52,Data!A46:N246,14,0)</f>
        <v>2735.15</v>
      </c>
      <c r="G52" s="14">
        <f>VLOOKUP(A52,Data!$A$1:$O$201,15,0)</f>
        <v>1424.88</v>
      </c>
    </row>
    <row r="53" spans="1:7" x14ac:dyDescent="0.3">
      <c r="A53" s="14" t="s">
        <v>94</v>
      </c>
      <c r="B53" s="14">
        <f>VLOOKUP(A53,Data!$A$1:$N$201,10,0)</f>
        <v>26732.05</v>
      </c>
      <c r="C53" s="14" t="str">
        <f>VLOOKUP(A53,Data!$A$1:$N$201,5,0)</f>
        <v>East</v>
      </c>
      <c r="D53" s="14" t="str">
        <f>VLOOKUP(A53,Data!$A$1:$N$201,6,0)</f>
        <v>UK</v>
      </c>
      <c r="E53" s="14">
        <f>VLOOKUP(A53,Data!$A$1:$N$201,11,0)</f>
        <v>6</v>
      </c>
      <c r="F53" s="14">
        <f>VLOOKUP(A53,Data!A47:N247,14,0)</f>
        <v>11514.47</v>
      </c>
      <c r="G53" s="14">
        <f>VLOOKUP(A53,Data!$A$1:$O$201,15,0)</f>
        <v>4455.3416666666662</v>
      </c>
    </row>
    <row r="54" spans="1:7" x14ac:dyDescent="0.3">
      <c r="A54" s="14" t="s">
        <v>95</v>
      </c>
      <c r="B54" s="14">
        <f>VLOOKUP(A54,Data!$A$1:$N$201,10,0)</f>
        <v>31973.15</v>
      </c>
      <c r="C54" s="14" t="str">
        <f>VLOOKUP(A54,Data!$A$1:$N$201,5,0)</f>
        <v>East</v>
      </c>
      <c r="D54" s="14" t="str">
        <f>VLOOKUP(A54,Data!$A$1:$N$201,6,0)</f>
        <v>Germany</v>
      </c>
      <c r="E54" s="14">
        <f>VLOOKUP(A54,Data!$A$1:$N$201,11,0)</f>
        <v>4</v>
      </c>
      <c r="F54" s="14">
        <f>VLOOKUP(A54,Data!A48:N248,14,0)</f>
        <v>6324.66</v>
      </c>
      <c r="G54" s="14">
        <f>VLOOKUP(A54,Data!$A$1:$O$201,15,0)</f>
        <v>7993.2875000000004</v>
      </c>
    </row>
    <row r="55" spans="1:7" x14ac:dyDescent="0.3">
      <c r="A55" s="14" t="s">
        <v>96</v>
      </c>
      <c r="B55" s="14">
        <f>VLOOKUP(A55,Data!$A$1:$N$201,10,0)</f>
        <v>16826.2</v>
      </c>
      <c r="C55" s="14" t="str">
        <f>VLOOKUP(A55,Data!$A$1:$N$201,5,0)</f>
        <v>North</v>
      </c>
      <c r="D55" s="14" t="str">
        <f>VLOOKUP(A55,Data!$A$1:$N$201,6,0)</f>
        <v>India</v>
      </c>
      <c r="E55" s="14">
        <f>VLOOKUP(A55,Data!$A$1:$N$201,11,0)</f>
        <v>4</v>
      </c>
      <c r="F55" s="14">
        <f>VLOOKUP(A55,Data!A49:N249,14,0)</f>
        <v>3234.36</v>
      </c>
      <c r="G55" s="14">
        <f>VLOOKUP(A55,Data!$A$1:$O$201,15,0)</f>
        <v>4206.55</v>
      </c>
    </row>
    <row r="56" spans="1:7" x14ac:dyDescent="0.3">
      <c r="A56" s="14" t="s">
        <v>97</v>
      </c>
      <c r="B56" s="14">
        <f>VLOOKUP(A56,Data!$A$1:$N$201,10,0)</f>
        <v>7108.85</v>
      </c>
      <c r="C56" s="14" t="str">
        <f>VLOOKUP(A56,Data!$A$1:$N$201,5,0)</f>
        <v>Central</v>
      </c>
      <c r="D56" s="14" t="str">
        <f>VLOOKUP(A56,Data!$A$1:$N$201,6,0)</f>
        <v>USA</v>
      </c>
      <c r="E56" s="14">
        <f>VLOOKUP(A56,Data!$A$1:$N$201,11,0)</f>
        <v>10</v>
      </c>
      <c r="F56" s="14">
        <f>VLOOKUP(A56,Data!A50:N250,14,0)</f>
        <v>3028.49</v>
      </c>
      <c r="G56" s="14">
        <f>VLOOKUP(A56,Data!$A$1:$O$201,15,0)</f>
        <v>710.88499999999999</v>
      </c>
    </row>
    <row r="57" spans="1:7" x14ac:dyDescent="0.3">
      <c r="A57" s="14" t="s">
        <v>98</v>
      </c>
      <c r="B57" s="14">
        <f>VLOOKUP(A57,Data!$A$1:$N$201,10,0)</f>
        <v>19451.18</v>
      </c>
      <c r="C57" s="14" t="str">
        <f>VLOOKUP(A57,Data!$A$1:$N$201,5,0)</f>
        <v>West</v>
      </c>
      <c r="D57" s="14" t="str">
        <f>VLOOKUP(A57,Data!$A$1:$N$201,6,0)</f>
        <v>Australia</v>
      </c>
      <c r="E57" s="14">
        <f>VLOOKUP(A57,Data!$A$1:$N$201,11,0)</f>
        <v>11</v>
      </c>
      <c r="F57" s="14">
        <f>VLOOKUP(A57,Data!A51:N251,14,0)</f>
        <v>6397.15</v>
      </c>
      <c r="G57" s="14">
        <f>VLOOKUP(A57,Data!$A$1:$O$201,15,0)</f>
        <v>1768.2890909090909</v>
      </c>
    </row>
    <row r="58" spans="1:7" x14ac:dyDescent="0.3">
      <c r="A58" s="14" t="s">
        <v>99</v>
      </c>
      <c r="B58" s="14">
        <f>VLOOKUP(A58,Data!$A$1:$N$201,10,0)</f>
        <v>16542.75</v>
      </c>
      <c r="C58" s="14" t="str">
        <f>VLOOKUP(A58,Data!$A$1:$N$201,5,0)</f>
        <v>South</v>
      </c>
      <c r="D58" s="14" t="str">
        <f>VLOOKUP(A58,Data!$A$1:$N$201,6,0)</f>
        <v>India</v>
      </c>
      <c r="E58" s="14">
        <f>VLOOKUP(A58,Data!$A$1:$N$201,11,0)</f>
        <v>7</v>
      </c>
      <c r="F58" s="14">
        <f>VLOOKUP(A58,Data!A52:N252,14,0)</f>
        <v>6658.43</v>
      </c>
      <c r="G58" s="14">
        <f>VLOOKUP(A58,Data!$A$1:$O$201,15,0)</f>
        <v>2363.25</v>
      </c>
    </row>
    <row r="59" spans="1:7" x14ac:dyDescent="0.3">
      <c r="A59" s="14" t="s">
        <v>100</v>
      </c>
      <c r="B59" s="14">
        <f>VLOOKUP(A59,Data!$A$1:$N$201,10,0)</f>
        <v>17879.88</v>
      </c>
      <c r="C59" s="14" t="str">
        <f>VLOOKUP(A59,Data!$A$1:$N$201,5,0)</f>
        <v>North</v>
      </c>
      <c r="D59" s="14" t="str">
        <f>VLOOKUP(A59,Data!$A$1:$N$201,6,0)</f>
        <v>UK</v>
      </c>
      <c r="E59" s="14">
        <f>VLOOKUP(A59,Data!$A$1:$N$201,11,0)</f>
        <v>10</v>
      </c>
      <c r="F59" s="14">
        <f>VLOOKUP(A59,Data!A53:N253,14,0)</f>
        <v>6192.81</v>
      </c>
      <c r="G59" s="14">
        <f>VLOOKUP(A59,Data!$A$1:$O$201,15,0)</f>
        <v>1787.9880000000001</v>
      </c>
    </row>
    <row r="60" spans="1:7" x14ac:dyDescent="0.3">
      <c r="A60" s="14" t="s">
        <v>101</v>
      </c>
      <c r="B60" s="14">
        <f>VLOOKUP(A60,Data!$A$1:$N$201,10,0)</f>
        <v>10203.14</v>
      </c>
      <c r="C60" s="14" t="str">
        <f>VLOOKUP(A60,Data!$A$1:$N$201,5,0)</f>
        <v>Central</v>
      </c>
      <c r="D60" s="14" t="str">
        <f>VLOOKUP(A60,Data!$A$1:$N$201,6,0)</f>
        <v>UK</v>
      </c>
      <c r="E60" s="14">
        <f>VLOOKUP(A60,Data!$A$1:$N$201,11,0)</f>
        <v>5</v>
      </c>
      <c r="F60" s="14">
        <f>VLOOKUP(A60,Data!A54:N254,14,0)</f>
        <v>4589.43</v>
      </c>
      <c r="G60" s="14">
        <f>VLOOKUP(A60,Data!$A$1:$O$201,15,0)</f>
        <v>2040.6279999999999</v>
      </c>
    </row>
    <row r="61" spans="1:7" x14ac:dyDescent="0.3">
      <c r="A61" s="14" t="s">
        <v>102</v>
      </c>
      <c r="B61" s="14">
        <f>VLOOKUP(A61,Data!$A$1:$N$201,10,0)</f>
        <v>30968.22</v>
      </c>
      <c r="C61" s="14" t="str">
        <f>VLOOKUP(A61,Data!$A$1:$N$201,5,0)</f>
        <v>South</v>
      </c>
      <c r="D61" s="14" t="str">
        <f>VLOOKUP(A61,Data!$A$1:$N$201,6,0)</f>
        <v>Germany</v>
      </c>
      <c r="E61" s="14">
        <f>VLOOKUP(A61,Data!$A$1:$N$201,11,0)</f>
        <v>8</v>
      </c>
      <c r="F61" s="14">
        <f>VLOOKUP(A61,Data!A55:N255,14,0)</f>
        <v>8217.0400000000009</v>
      </c>
      <c r="G61" s="14">
        <f>VLOOKUP(A61,Data!$A$1:$O$201,15,0)</f>
        <v>3871.0275000000001</v>
      </c>
    </row>
    <row r="62" spans="1:7" x14ac:dyDescent="0.3">
      <c r="A62" s="14" t="s">
        <v>103</v>
      </c>
      <c r="B62" s="14">
        <f>VLOOKUP(A62,Data!$A$1:$N$201,10,0)</f>
        <v>8727.32</v>
      </c>
      <c r="C62" s="14" t="str">
        <f>VLOOKUP(A62,Data!$A$1:$N$201,5,0)</f>
        <v>North</v>
      </c>
      <c r="D62" s="14" t="str">
        <f>VLOOKUP(A62,Data!$A$1:$N$201,6,0)</f>
        <v>USA</v>
      </c>
      <c r="E62" s="14">
        <f>VLOOKUP(A62,Data!$A$1:$N$201,11,0)</f>
        <v>3</v>
      </c>
      <c r="F62" s="14">
        <f>VLOOKUP(A62,Data!A56:N256,14,0)</f>
        <v>3376.25</v>
      </c>
      <c r="G62" s="14">
        <f>VLOOKUP(A62,Data!$A$1:$O$201,15,0)</f>
        <v>2909.1066666666666</v>
      </c>
    </row>
    <row r="63" spans="1:7" x14ac:dyDescent="0.3">
      <c r="A63" s="14" t="s">
        <v>104</v>
      </c>
      <c r="B63" s="14">
        <f>VLOOKUP(A63,Data!$A$1:$N$201,10,0)</f>
        <v>2314.94</v>
      </c>
      <c r="C63" s="14" t="str">
        <f>VLOOKUP(A63,Data!$A$1:$N$201,5,0)</f>
        <v>East</v>
      </c>
      <c r="D63" s="14" t="str">
        <f>VLOOKUP(A63,Data!$A$1:$N$201,6,0)</f>
        <v>India</v>
      </c>
      <c r="E63" s="14">
        <f>VLOOKUP(A63,Data!$A$1:$N$201,11,0)</f>
        <v>8</v>
      </c>
      <c r="F63" s="14">
        <f>VLOOKUP(A63,Data!A57:N257,14,0)</f>
        <v>471.69</v>
      </c>
      <c r="G63" s="14">
        <f>VLOOKUP(A63,Data!$A$1:$O$201,15,0)</f>
        <v>289.36750000000001</v>
      </c>
    </row>
    <row r="64" spans="1:7" x14ac:dyDescent="0.3">
      <c r="A64" s="14" t="s">
        <v>105</v>
      </c>
      <c r="B64" s="14">
        <f>VLOOKUP(A64,Data!$A$1:$N$201,10,0)</f>
        <v>28244.45</v>
      </c>
      <c r="C64" s="14" t="str">
        <f>VLOOKUP(A64,Data!$A$1:$N$201,5,0)</f>
        <v>Central</v>
      </c>
      <c r="D64" s="14" t="str">
        <f>VLOOKUP(A64,Data!$A$1:$N$201,6,0)</f>
        <v>India</v>
      </c>
      <c r="E64" s="14">
        <f>VLOOKUP(A64,Data!$A$1:$N$201,11,0)</f>
        <v>9</v>
      </c>
      <c r="F64" s="14">
        <f>VLOOKUP(A64,Data!A58:N258,14,0)</f>
        <v>4623.13</v>
      </c>
      <c r="G64" s="14">
        <f>VLOOKUP(A64,Data!$A$1:$O$201,15,0)</f>
        <v>3138.2722222222224</v>
      </c>
    </row>
    <row r="65" spans="1:7" x14ac:dyDescent="0.3">
      <c r="A65" s="14" t="s">
        <v>106</v>
      </c>
      <c r="B65" s="14">
        <f>VLOOKUP(A65,Data!$A$1:$N$201,10,0)</f>
        <v>29906.04</v>
      </c>
      <c r="C65" s="14" t="str">
        <f>VLOOKUP(A65,Data!$A$1:$N$201,5,0)</f>
        <v>Central</v>
      </c>
      <c r="D65" s="14" t="str">
        <f>VLOOKUP(A65,Data!$A$1:$N$201,6,0)</f>
        <v>Australia</v>
      </c>
      <c r="E65" s="14">
        <f>VLOOKUP(A65,Data!$A$1:$N$201,11,0)</f>
        <v>1</v>
      </c>
      <c r="F65" s="14">
        <f>VLOOKUP(A65,Data!A59:N259,14,0)</f>
        <v>11246.36</v>
      </c>
      <c r="G65" s="14">
        <f>VLOOKUP(A65,Data!$A$1:$O$201,15,0)</f>
        <v>29906.04</v>
      </c>
    </row>
    <row r="66" spans="1:7" x14ac:dyDescent="0.3">
      <c r="A66" s="14" t="s">
        <v>107</v>
      </c>
      <c r="B66" s="14">
        <f>VLOOKUP(A66,Data!$A$1:$N$201,10,0)</f>
        <v>10159.370000000001</v>
      </c>
      <c r="C66" s="14" t="str">
        <f>VLOOKUP(A66,Data!$A$1:$N$201,5,0)</f>
        <v>Central</v>
      </c>
      <c r="D66" s="14" t="str">
        <f>VLOOKUP(A66,Data!$A$1:$N$201,6,0)</f>
        <v>India</v>
      </c>
      <c r="E66" s="14">
        <f>VLOOKUP(A66,Data!$A$1:$N$201,11,0)</f>
        <v>11</v>
      </c>
      <c r="F66" s="14">
        <f>VLOOKUP(A66,Data!A60:N260,14,0)</f>
        <v>1688.4</v>
      </c>
      <c r="G66" s="14">
        <f>VLOOKUP(A66,Data!$A$1:$O$201,15,0)</f>
        <v>923.57909090909095</v>
      </c>
    </row>
    <row r="67" spans="1:7" x14ac:dyDescent="0.3">
      <c r="A67" s="14" t="s">
        <v>108</v>
      </c>
      <c r="B67" s="14">
        <f>VLOOKUP(A67,Data!$A$1:$N$201,10,0)</f>
        <v>7597.51</v>
      </c>
      <c r="C67" s="14" t="str">
        <f>VLOOKUP(A67,Data!$A$1:$N$201,5,0)</f>
        <v>Central</v>
      </c>
      <c r="D67" s="14" t="str">
        <f>VLOOKUP(A67,Data!$A$1:$N$201,6,0)</f>
        <v>UK</v>
      </c>
      <c r="E67" s="14">
        <f>VLOOKUP(A67,Data!$A$1:$N$201,11,0)</f>
        <v>3</v>
      </c>
      <c r="F67" s="14">
        <f>VLOOKUP(A67,Data!A61:N261,14,0)</f>
        <v>1807.39</v>
      </c>
      <c r="G67" s="14">
        <f>VLOOKUP(A67,Data!$A$1:$O$201,15,0)</f>
        <v>2532.5033333333336</v>
      </c>
    </row>
    <row r="68" spans="1:7" x14ac:dyDescent="0.3">
      <c r="A68" s="14" t="s">
        <v>109</v>
      </c>
      <c r="B68" s="14">
        <f>VLOOKUP(A68,Data!$A$1:$N$201,10,0)</f>
        <v>23556.83</v>
      </c>
      <c r="C68" s="14" t="str">
        <f>VLOOKUP(A68,Data!$A$1:$N$201,5,0)</f>
        <v>West</v>
      </c>
      <c r="D68" s="14" t="str">
        <f>VLOOKUP(A68,Data!$A$1:$N$201,6,0)</f>
        <v>USA</v>
      </c>
      <c r="E68" s="14">
        <f>VLOOKUP(A68,Data!$A$1:$N$201,11,0)</f>
        <v>9</v>
      </c>
      <c r="F68" s="14">
        <f>VLOOKUP(A68,Data!A62:N262,14,0)</f>
        <v>5004.01</v>
      </c>
      <c r="G68" s="14">
        <f>VLOOKUP(A68,Data!$A$1:$O$201,15,0)</f>
        <v>2617.4255555555555</v>
      </c>
    </row>
    <row r="69" spans="1:7" x14ac:dyDescent="0.3">
      <c r="A69" s="14" t="s">
        <v>110</v>
      </c>
      <c r="B69" s="14">
        <f>VLOOKUP(A69,Data!$A$1:$N$201,10,0)</f>
        <v>36849.51</v>
      </c>
      <c r="C69" s="14" t="str">
        <f>VLOOKUP(A69,Data!$A$1:$N$201,5,0)</f>
        <v>South</v>
      </c>
      <c r="D69" s="14" t="str">
        <f>VLOOKUP(A69,Data!$A$1:$N$201,6,0)</f>
        <v>USA</v>
      </c>
      <c r="E69" s="14">
        <f>VLOOKUP(A69,Data!$A$1:$N$201,11,0)</f>
        <v>3</v>
      </c>
      <c r="F69" s="14">
        <f>VLOOKUP(A69,Data!A63:N263,14,0)</f>
        <v>9646.43</v>
      </c>
      <c r="G69" s="14">
        <f>VLOOKUP(A69,Data!$A$1:$O$201,15,0)</f>
        <v>12283.17</v>
      </c>
    </row>
    <row r="70" spans="1:7" x14ac:dyDescent="0.3">
      <c r="A70" s="14" t="s">
        <v>111</v>
      </c>
      <c r="B70" s="14">
        <f>VLOOKUP(A70,Data!$A$1:$N$201,10,0)</f>
        <v>10756.15</v>
      </c>
      <c r="C70" s="14" t="str">
        <f>VLOOKUP(A70,Data!$A$1:$N$201,5,0)</f>
        <v>East</v>
      </c>
      <c r="D70" s="14" t="str">
        <f>VLOOKUP(A70,Data!$A$1:$N$201,6,0)</f>
        <v>UK</v>
      </c>
      <c r="E70" s="14">
        <f>VLOOKUP(A70,Data!$A$1:$N$201,11,0)</f>
        <v>3</v>
      </c>
      <c r="F70" s="14">
        <f>VLOOKUP(A70,Data!A64:N264,14,0)</f>
        <v>2614.19</v>
      </c>
      <c r="G70" s="14">
        <f>VLOOKUP(A70,Data!$A$1:$O$201,15,0)</f>
        <v>3585.3833333333332</v>
      </c>
    </row>
    <row r="71" spans="1:7" x14ac:dyDescent="0.3">
      <c r="A71" s="14" t="s">
        <v>112</v>
      </c>
      <c r="B71" s="14">
        <f>VLOOKUP(A71,Data!$A$1:$N$201,10,0)</f>
        <v>21968.16</v>
      </c>
      <c r="C71" s="14" t="str">
        <f>VLOOKUP(A71,Data!$A$1:$N$201,5,0)</f>
        <v>North</v>
      </c>
      <c r="D71" s="14" t="str">
        <f>VLOOKUP(A71,Data!$A$1:$N$201,6,0)</f>
        <v>UK</v>
      </c>
      <c r="E71" s="14">
        <f>VLOOKUP(A71,Data!$A$1:$N$201,11,0)</f>
        <v>1</v>
      </c>
      <c r="F71" s="14">
        <f>VLOOKUP(A71,Data!A65:N265,14,0)</f>
        <v>5895.13</v>
      </c>
      <c r="G71" s="14">
        <f>VLOOKUP(A71,Data!$A$1:$O$201,15,0)</f>
        <v>21968.16</v>
      </c>
    </row>
    <row r="72" spans="1:7" x14ac:dyDescent="0.3">
      <c r="A72" s="14" t="s">
        <v>113</v>
      </c>
      <c r="B72" s="14">
        <f>VLOOKUP(A72,Data!$A$1:$N$201,10,0)</f>
        <v>11163.63</v>
      </c>
      <c r="C72" s="14" t="str">
        <f>VLOOKUP(A72,Data!$A$1:$N$201,5,0)</f>
        <v>East</v>
      </c>
      <c r="D72" s="14" t="str">
        <f>VLOOKUP(A72,Data!$A$1:$N$201,6,0)</f>
        <v>India</v>
      </c>
      <c r="E72" s="14">
        <f>VLOOKUP(A72,Data!$A$1:$N$201,11,0)</f>
        <v>8</v>
      </c>
      <c r="F72" s="14">
        <f>VLOOKUP(A72,Data!A66:N266,14,0)</f>
        <v>2703.05</v>
      </c>
      <c r="G72" s="14">
        <f>VLOOKUP(A72,Data!$A$1:$O$201,15,0)</f>
        <v>1395.4537499999999</v>
      </c>
    </row>
    <row r="73" spans="1:7" x14ac:dyDescent="0.3">
      <c r="A73" s="14" t="s">
        <v>114</v>
      </c>
      <c r="B73" s="14">
        <f>VLOOKUP(A73,Data!$A$1:$N$201,10,0)</f>
        <v>29872.59</v>
      </c>
      <c r="C73" s="14" t="str">
        <f>VLOOKUP(A73,Data!$A$1:$N$201,5,0)</f>
        <v>South</v>
      </c>
      <c r="D73" s="14" t="str">
        <f>VLOOKUP(A73,Data!$A$1:$N$201,6,0)</f>
        <v>Australia</v>
      </c>
      <c r="E73" s="14">
        <f>VLOOKUP(A73,Data!$A$1:$N$201,11,0)</f>
        <v>8</v>
      </c>
      <c r="F73" s="14">
        <f>VLOOKUP(A73,Data!A67:N267,14,0)</f>
        <v>11834.71</v>
      </c>
      <c r="G73" s="14">
        <f>VLOOKUP(A73,Data!$A$1:$O$201,15,0)</f>
        <v>3734.07375</v>
      </c>
    </row>
    <row r="74" spans="1:7" x14ac:dyDescent="0.3">
      <c r="A74" s="14" t="s">
        <v>115</v>
      </c>
      <c r="B74" s="14">
        <f>VLOOKUP(A74,Data!$A$1:$N$201,10,0)</f>
        <v>19110.18</v>
      </c>
      <c r="C74" s="14" t="str">
        <f>VLOOKUP(A74,Data!$A$1:$N$201,5,0)</f>
        <v>East</v>
      </c>
      <c r="D74" s="14" t="str">
        <f>VLOOKUP(A74,Data!$A$1:$N$201,6,0)</f>
        <v>USA</v>
      </c>
      <c r="E74" s="14">
        <f>VLOOKUP(A74,Data!$A$1:$N$201,11,0)</f>
        <v>4</v>
      </c>
      <c r="F74" s="14">
        <f>VLOOKUP(A74,Data!A68:N268,14,0)</f>
        <v>5355.9</v>
      </c>
      <c r="G74" s="14">
        <f>VLOOKUP(A74,Data!$A$1:$O$201,15,0)</f>
        <v>4777.5450000000001</v>
      </c>
    </row>
    <row r="75" spans="1:7" x14ac:dyDescent="0.3">
      <c r="A75" s="14" t="s">
        <v>116</v>
      </c>
      <c r="B75" s="14">
        <f>VLOOKUP(A75,Data!$A$1:$N$201,10,0)</f>
        <v>15655.09</v>
      </c>
      <c r="C75" s="14" t="str">
        <f>VLOOKUP(A75,Data!$A$1:$N$201,5,0)</f>
        <v>North</v>
      </c>
      <c r="D75" s="14" t="str">
        <f>VLOOKUP(A75,Data!$A$1:$N$201,6,0)</f>
        <v>UK</v>
      </c>
      <c r="E75" s="14">
        <f>VLOOKUP(A75,Data!$A$1:$N$201,11,0)</f>
        <v>6</v>
      </c>
      <c r="F75" s="14">
        <f>VLOOKUP(A75,Data!A69:N269,14,0)</f>
        <v>5127.78</v>
      </c>
      <c r="G75" s="14">
        <f>VLOOKUP(A75,Data!$A$1:$O$201,15,0)</f>
        <v>2609.1816666666668</v>
      </c>
    </row>
    <row r="76" spans="1:7" x14ac:dyDescent="0.3">
      <c r="A76" s="14" t="s">
        <v>117</v>
      </c>
      <c r="B76" s="14">
        <f>VLOOKUP(A76,Data!$A$1:$N$201,10,0)</f>
        <v>26520.71</v>
      </c>
      <c r="C76" s="14" t="str">
        <f>VLOOKUP(A76,Data!$A$1:$N$201,5,0)</f>
        <v>East</v>
      </c>
      <c r="D76" s="14" t="str">
        <f>VLOOKUP(A76,Data!$A$1:$N$201,6,0)</f>
        <v>UK</v>
      </c>
      <c r="E76" s="14">
        <f>VLOOKUP(A76,Data!$A$1:$N$201,11,0)</f>
        <v>11</v>
      </c>
      <c r="F76" s="14">
        <f>VLOOKUP(A76,Data!A70:N270,14,0)</f>
        <v>11872.58</v>
      </c>
      <c r="G76" s="14">
        <f>VLOOKUP(A76,Data!$A$1:$O$201,15,0)</f>
        <v>2410.9736363636362</v>
      </c>
    </row>
    <row r="77" spans="1:7" x14ac:dyDescent="0.3">
      <c r="A77" s="14" t="s">
        <v>118</v>
      </c>
      <c r="B77" s="14">
        <f>VLOOKUP(A77,Data!$A$1:$N$201,10,0)</f>
        <v>21631.65</v>
      </c>
      <c r="C77" s="14" t="str">
        <f>VLOOKUP(A77,Data!$A$1:$N$201,5,0)</f>
        <v>Central</v>
      </c>
      <c r="D77" s="14" t="str">
        <f>VLOOKUP(A77,Data!$A$1:$N$201,6,0)</f>
        <v>Australia</v>
      </c>
      <c r="E77" s="14">
        <f>VLOOKUP(A77,Data!$A$1:$N$201,11,0)</f>
        <v>2</v>
      </c>
      <c r="F77" s="14">
        <f>VLOOKUP(A77,Data!A71:N271,14,0)</f>
        <v>6132.68</v>
      </c>
      <c r="G77" s="14">
        <f>VLOOKUP(A77,Data!$A$1:$O$201,15,0)</f>
        <v>10815.825000000001</v>
      </c>
    </row>
    <row r="78" spans="1:7" x14ac:dyDescent="0.3">
      <c r="A78" s="14" t="s">
        <v>119</v>
      </c>
      <c r="B78" s="14">
        <f>VLOOKUP(A78,Data!$A$1:$N$201,10,0)</f>
        <v>8685.0499999999993</v>
      </c>
      <c r="C78" s="14" t="str">
        <f>VLOOKUP(A78,Data!$A$1:$N$201,5,0)</f>
        <v>East</v>
      </c>
      <c r="D78" s="14" t="str">
        <f>VLOOKUP(A78,Data!$A$1:$N$201,6,0)</f>
        <v>Australia</v>
      </c>
      <c r="E78" s="14">
        <f>VLOOKUP(A78,Data!$A$1:$N$201,11,0)</f>
        <v>3</v>
      </c>
      <c r="F78" s="14">
        <f>VLOOKUP(A78,Data!A72:N272,14,0)</f>
        <v>1787.51</v>
      </c>
      <c r="G78" s="14">
        <f>VLOOKUP(A78,Data!$A$1:$O$201,15,0)</f>
        <v>2895.0166666666664</v>
      </c>
    </row>
    <row r="79" spans="1:7" x14ac:dyDescent="0.3">
      <c r="A79" s="14" t="s">
        <v>120</v>
      </c>
      <c r="B79" s="14">
        <f>VLOOKUP(A79,Data!$A$1:$N$201,10,0)</f>
        <v>17115.52</v>
      </c>
      <c r="C79" s="14" t="str">
        <f>VLOOKUP(A79,Data!$A$1:$N$201,5,0)</f>
        <v>Central</v>
      </c>
      <c r="D79" s="14" t="str">
        <f>VLOOKUP(A79,Data!$A$1:$N$201,6,0)</f>
        <v>Australia</v>
      </c>
      <c r="E79" s="14">
        <f>VLOOKUP(A79,Data!$A$1:$N$201,11,0)</f>
        <v>2</v>
      </c>
      <c r="F79" s="14">
        <f>VLOOKUP(A79,Data!A73:N273,14,0)</f>
        <v>7350.19</v>
      </c>
      <c r="G79" s="14">
        <f>VLOOKUP(A79,Data!$A$1:$O$201,15,0)</f>
        <v>8557.76</v>
      </c>
    </row>
    <row r="80" spans="1:7" x14ac:dyDescent="0.3">
      <c r="A80" s="14" t="s">
        <v>121</v>
      </c>
      <c r="B80" s="14">
        <f>VLOOKUP(A80,Data!$A$1:$N$201,10,0)</f>
        <v>38294.550000000003</v>
      </c>
      <c r="C80" s="14" t="str">
        <f>VLOOKUP(A80,Data!$A$1:$N$201,5,0)</f>
        <v>North</v>
      </c>
      <c r="D80" s="14" t="str">
        <f>VLOOKUP(A80,Data!$A$1:$N$201,6,0)</f>
        <v>Germany</v>
      </c>
      <c r="E80" s="14">
        <f>VLOOKUP(A80,Data!$A$1:$N$201,11,0)</f>
        <v>2</v>
      </c>
      <c r="F80" s="14">
        <f>VLOOKUP(A80,Data!A74:N274,14,0)</f>
        <v>13308.83</v>
      </c>
      <c r="G80" s="14">
        <f>VLOOKUP(A80,Data!$A$1:$O$201,15,0)</f>
        <v>19147.275000000001</v>
      </c>
    </row>
    <row r="81" spans="1:7" x14ac:dyDescent="0.3">
      <c r="A81" s="14" t="s">
        <v>122</v>
      </c>
      <c r="B81" s="14">
        <f>VLOOKUP(A81,Data!$A$1:$N$201,10,0)</f>
        <v>32204.5</v>
      </c>
      <c r="C81" s="14" t="str">
        <f>VLOOKUP(A81,Data!$A$1:$N$201,5,0)</f>
        <v>West</v>
      </c>
      <c r="D81" s="14" t="str">
        <f>VLOOKUP(A81,Data!$A$1:$N$201,6,0)</f>
        <v>USA</v>
      </c>
      <c r="E81" s="14">
        <f>VLOOKUP(A81,Data!$A$1:$N$201,11,0)</f>
        <v>5</v>
      </c>
      <c r="F81" s="14">
        <f>VLOOKUP(A81,Data!A75:N275,14,0)</f>
        <v>6630.43</v>
      </c>
      <c r="G81" s="14">
        <f>VLOOKUP(A81,Data!$A$1:$O$201,15,0)</f>
        <v>6440.9</v>
      </c>
    </row>
    <row r="82" spans="1:7" x14ac:dyDescent="0.3">
      <c r="A82" s="14" t="s">
        <v>123</v>
      </c>
      <c r="B82" s="14">
        <f>VLOOKUP(A82,Data!$A$1:$N$201,10,0)</f>
        <v>20874.66</v>
      </c>
      <c r="C82" s="14" t="str">
        <f>VLOOKUP(A82,Data!$A$1:$N$201,5,0)</f>
        <v>West</v>
      </c>
      <c r="D82" s="14" t="str">
        <f>VLOOKUP(A82,Data!$A$1:$N$201,6,0)</f>
        <v>USA</v>
      </c>
      <c r="E82" s="14">
        <f>VLOOKUP(A82,Data!$A$1:$N$201,11,0)</f>
        <v>10</v>
      </c>
      <c r="F82" s="14">
        <f>VLOOKUP(A82,Data!A76:N276,14,0)</f>
        <v>8308.91</v>
      </c>
      <c r="G82" s="14">
        <f>VLOOKUP(A82,Data!$A$1:$O$201,15,0)</f>
        <v>2087.4659999999999</v>
      </c>
    </row>
    <row r="83" spans="1:7" x14ac:dyDescent="0.3">
      <c r="A83" s="14" t="s">
        <v>124</v>
      </c>
      <c r="B83" s="14">
        <f>VLOOKUP(A83,Data!$A$1:$N$201,10,0)</f>
        <v>26690.16</v>
      </c>
      <c r="C83" s="14" t="str">
        <f>VLOOKUP(A83,Data!$A$1:$N$201,5,0)</f>
        <v>North</v>
      </c>
      <c r="D83" s="14" t="str">
        <f>VLOOKUP(A83,Data!$A$1:$N$201,6,0)</f>
        <v>India</v>
      </c>
      <c r="E83" s="14">
        <f>VLOOKUP(A83,Data!$A$1:$N$201,11,0)</f>
        <v>10</v>
      </c>
      <c r="F83" s="14">
        <f>VLOOKUP(A83,Data!A77:N277,14,0)</f>
        <v>6722.95</v>
      </c>
      <c r="G83" s="14">
        <f>VLOOKUP(A83,Data!$A$1:$O$201,15,0)</f>
        <v>2669.0160000000001</v>
      </c>
    </row>
    <row r="84" spans="1:7" x14ac:dyDescent="0.3">
      <c r="A84" s="14" t="s">
        <v>125</v>
      </c>
      <c r="B84" s="14">
        <f>VLOOKUP(A84,Data!$A$1:$N$201,10,0)</f>
        <v>6380.96</v>
      </c>
      <c r="C84" s="14" t="str">
        <f>VLOOKUP(A84,Data!$A$1:$N$201,5,0)</f>
        <v>Central</v>
      </c>
      <c r="D84" s="14" t="str">
        <f>VLOOKUP(A84,Data!$A$1:$N$201,6,0)</f>
        <v>USA</v>
      </c>
      <c r="E84" s="14">
        <f>VLOOKUP(A84,Data!$A$1:$N$201,11,0)</f>
        <v>6</v>
      </c>
      <c r="F84" s="14">
        <f>VLOOKUP(A84,Data!A78:N278,14,0)</f>
        <v>1379.79</v>
      </c>
      <c r="G84" s="14">
        <f>VLOOKUP(A84,Data!$A$1:$O$201,15,0)</f>
        <v>1063.4933333333333</v>
      </c>
    </row>
    <row r="85" spans="1:7" x14ac:dyDescent="0.3">
      <c r="A85" s="14" t="s">
        <v>126</v>
      </c>
      <c r="B85" s="14">
        <f>VLOOKUP(A85,Data!$A$1:$N$201,10,0)</f>
        <v>16997.18</v>
      </c>
      <c r="C85" s="14" t="str">
        <f>VLOOKUP(A85,Data!$A$1:$N$201,5,0)</f>
        <v>North</v>
      </c>
      <c r="D85" s="14" t="str">
        <f>VLOOKUP(A85,Data!$A$1:$N$201,6,0)</f>
        <v>India</v>
      </c>
      <c r="E85" s="14">
        <f>VLOOKUP(A85,Data!$A$1:$N$201,11,0)</f>
        <v>4</v>
      </c>
      <c r="F85" s="14">
        <f>VLOOKUP(A85,Data!A79:N279,14,0)</f>
        <v>5911.45</v>
      </c>
      <c r="G85" s="14">
        <f>VLOOKUP(A85,Data!$A$1:$O$201,15,0)</f>
        <v>4249.2950000000001</v>
      </c>
    </row>
    <row r="86" spans="1:7" x14ac:dyDescent="0.3">
      <c r="A86" s="14" t="s">
        <v>127</v>
      </c>
      <c r="B86" s="14">
        <f>VLOOKUP(A86,Data!$A$1:$N$201,10,0)</f>
        <v>35876.800000000003</v>
      </c>
      <c r="C86" s="14" t="str">
        <f>VLOOKUP(A86,Data!$A$1:$N$201,5,0)</f>
        <v>South</v>
      </c>
      <c r="D86" s="14" t="str">
        <f>VLOOKUP(A86,Data!$A$1:$N$201,6,0)</f>
        <v>UK</v>
      </c>
      <c r="E86" s="14">
        <f>VLOOKUP(A86,Data!$A$1:$N$201,11,0)</f>
        <v>4</v>
      </c>
      <c r="F86" s="14">
        <f>VLOOKUP(A86,Data!A80:N280,14,0)</f>
        <v>15108.24</v>
      </c>
      <c r="G86" s="14">
        <f>VLOOKUP(A86,Data!$A$1:$O$201,15,0)</f>
        <v>8969.2000000000007</v>
      </c>
    </row>
    <row r="87" spans="1:7" x14ac:dyDescent="0.3">
      <c r="A87" s="14" t="s">
        <v>128</v>
      </c>
      <c r="B87" s="14">
        <f>VLOOKUP(A87,Data!$A$1:$N$201,10,0)</f>
        <v>8174.32</v>
      </c>
      <c r="C87" s="14" t="str">
        <f>VLOOKUP(A87,Data!$A$1:$N$201,5,0)</f>
        <v>Central</v>
      </c>
      <c r="D87" s="14" t="str">
        <f>VLOOKUP(A87,Data!$A$1:$N$201,6,0)</f>
        <v>Australia</v>
      </c>
      <c r="E87" s="14">
        <f>VLOOKUP(A87,Data!$A$1:$N$201,11,0)</f>
        <v>1</v>
      </c>
      <c r="F87" s="14">
        <f>VLOOKUP(A87,Data!A81:N281,14,0)</f>
        <v>3369.09</v>
      </c>
      <c r="G87" s="14">
        <f>VLOOKUP(A87,Data!$A$1:$O$201,15,0)</f>
        <v>8174.32</v>
      </c>
    </row>
    <row r="88" spans="1:7" x14ac:dyDescent="0.3">
      <c r="A88" s="14" t="s">
        <v>129</v>
      </c>
      <c r="B88" s="14">
        <f>VLOOKUP(A88,Data!$A$1:$N$201,10,0)</f>
        <v>39291.32</v>
      </c>
      <c r="C88" s="14" t="str">
        <f>VLOOKUP(A88,Data!$A$1:$N$201,5,0)</f>
        <v>East</v>
      </c>
      <c r="D88" s="14" t="str">
        <f>VLOOKUP(A88,Data!$A$1:$N$201,6,0)</f>
        <v>UK</v>
      </c>
      <c r="E88" s="14">
        <f>VLOOKUP(A88,Data!$A$1:$N$201,11,0)</f>
        <v>3</v>
      </c>
      <c r="F88" s="14">
        <f>VLOOKUP(A88,Data!A82:N282,14,0)</f>
        <v>15736.56</v>
      </c>
      <c r="G88" s="14">
        <f>VLOOKUP(A88,Data!$A$1:$O$201,15,0)</f>
        <v>13097.106666666667</v>
      </c>
    </row>
    <row r="89" spans="1:7" x14ac:dyDescent="0.3">
      <c r="A89" s="14" t="s">
        <v>130</v>
      </c>
      <c r="B89" s="14">
        <f>VLOOKUP(A89,Data!$A$1:$N$201,10,0)</f>
        <v>34045.949999999997</v>
      </c>
      <c r="C89" s="14" t="str">
        <f>VLOOKUP(A89,Data!$A$1:$N$201,5,0)</f>
        <v>South</v>
      </c>
      <c r="D89" s="14" t="str">
        <f>VLOOKUP(A89,Data!$A$1:$N$201,6,0)</f>
        <v>Germany</v>
      </c>
      <c r="E89" s="14">
        <f>VLOOKUP(A89,Data!$A$1:$N$201,11,0)</f>
        <v>11</v>
      </c>
      <c r="F89" s="14">
        <f>VLOOKUP(A89,Data!A83:N283,14,0)</f>
        <v>8188.39</v>
      </c>
      <c r="G89" s="14">
        <f>VLOOKUP(A89,Data!$A$1:$O$201,15,0)</f>
        <v>3095.0863636363633</v>
      </c>
    </row>
    <row r="90" spans="1:7" x14ac:dyDescent="0.3">
      <c r="A90" s="14" t="s">
        <v>131</v>
      </c>
      <c r="B90" s="14">
        <f>VLOOKUP(A90,Data!$A$1:$N$201,10,0)</f>
        <v>27696.22</v>
      </c>
      <c r="C90" s="14" t="str">
        <f>VLOOKUP(A90,Data!$A$1:$N$201,5,0)</f>
        <v>South</v>
      </c>
      <c r="D90" s="14" t="str">
        <f>VLOOKUP(A90,Data!$A$1:$N$201,6,0)</f>
        <v>USA</v>
      </c>
      <c r="E90" s="14">
        <f>VLOOKUP(A90,Data!$A$1:$N$201,11,0)</f>
        <v>8</v>
      </c>
      <c r="F90" s="14">
        <f>VLOOKUP(A90,Data!A84:N284,14,0)</f>
        <v>4163.33</v>
      </c>
      <c r="G90" s="14">
        <f>VLOOKUP(A90,Data!$A$1:$O$201,15,0)</f>
        <v>3462.0275000000001</v>
      </c>
    </row>
    <row r="91" spans="1:7" x14ac:dyDescent="0.3">
      <c r="A91" s="14" t="s">
        <v>132</v>
      </c>
      <c r="B91" s="14">
        <f>VLOOKUP(A91,Data!$A$1:$N$201,10,0)</f>
        <v>15446.07</v>
      </c>
      <c r="C91" s="14" t="str">
        <f>VLOOKUP(A91,Data!$A$1:$N$201,5,0)</f>
        <v>West</v>
      </c>
      <c r="D91" s="14" t="str">
        <f>VLOOKUP(A91,Data!$A$1:$N$201,6,0)</f>
        <v>Australia</v>
      </c>
      <c r="E91" s="14">
        <f>VLOOKUP(A91,Data!$A$1:$N$201,11,0)</f>
        <v>3</v>
      </c>
      <c r="F91" s="14">
        <f>VLOOKUP(A91,Data!A85:N285,14,0)</f>
        <v>3158.71</v>
      </c>
      <c r="G91" s="14">
        <f>VLOOKUP(A91,Data!$A$1:$O$201,15,0)</f>
        <v>5148.6899999999996</v>
      </c>
    </row>
    <row r="92" spans="1:7" x14ac:dyDescent="0.3">
      <c r="A92" s="14" t="s">
        <v>133</v>
      </c>
      <c r="B92" s="14">
        <f>VLOOKUP(A92,Data!$A$1:$N$201,10,0)</f>
        <v>4409.4399999999996</v>
      </c>
      <c r="C92" s="14" t="str">
        <f>VLOOKUP(A92,Data!$A$1:$N$201,5,0)</f>
        <v>Central</v>
      </c>
      <c r="D92" s="14" t="str">
        <f>VLOOKUP(A92,Data!$A$1:$N$201,6,0)</f>
        <v>India</v>
      </c>
      <c r="E92" s="14">
        <f>VLOOKUP(A92,Data!$A$1:$N$201,11,0)</f>
        <v>4</v>
      </c>
      <c r="F92" s="14">
        <f>VLOOKUP(A92,Data!A86:N286,14,0)</f>
        <v>1121.55</v>
      </c>
      <c r="G92" s="14">
        <f>VLOOKUP(A92,Data!$A$1:$O$201,15,0)</f>
        <v>1102.3599999999999</v>
      </c>
    </row>
    <row r="93" spans="1:7" x14ac:dyDescent="0.3">
      <c r="A93" s="14" t="s">
        <v>134</v>
      </c>
      <c r="B93" s="14">
        <f>VLOOKUP(A93,Data!$A$1:$N$201,10,0)</f>
        <v>12351.61</v>
      </c>
      <c r="C93" s="14" t="str">
        <f>VLOOKUP(A93,Data!$A$1:$N$201,5,0)</f>
        <v>North</v>
      </c>
      <c r="D93" s="14" t="str">
        <f>VLOOKUP(A93,Data!$A$1:$N$201,6,0)</f>
        <v>Germany</v>
      </c>
      <c r="E93" s="14">
        <f>VLOOKUP(A93,Data!$A$1:$N$201,11,0)</f>
        <v>11</v>
      </c>
      <c r="F93" s="14">
        <f>VLOOKUP(A93,Data!A87:N287,14,0)</f>
        <v>3711.92</v>
      </c>
      <c r="G93" s="14">
        <f>VLOOKUP(A93,Data!$A$1:$O$201,15,0)</f>
        <v>1122.8736363636365</v>
      </c>
    </row>
    <row r="94" spans="1:7" x14ac:dyDescent="0.3">
      <c r="A94" s="14" t="s">
        <v>135</v>
      </c>
      <c r="B94" s="14">
        <f>VLOOKUP(A94,Data!$A$1:$N$201,10,0)</f>
        <v>29847.06</v>
      </c>
      <c r="C94" s="14" t="str">
        <f>VLOOKUP(A94,Data!$A$1:$N$201,5,0)</f>
        <v>West</v>
      </c>
      <c r="D94" s="14" t="str">
        <f>VLOOKUP(A94,Data!$A$1:$N$201,6,0)</f>
        <v>Germany</v>
      </c>
      <c r="E94" s="14">
        <f>VLOOKUP(A94,Data!$A$1:$N$201,11,0)</f>
        <v>5</v>
      </c>
      <c r="F94" s="14">
        <f>VLOOKUP(A94,Data!A88:N288,14,0)</f>
        <v>5532.29</v>
      </c>
      <c r="G94" s="14">
        <f>VLOOKUP(A94,Data!$A$1:$O$201,15,0)</f>
        <v>5969.4120000000003</v>
      </c>
    </row>
    <row r="95" spans="1:7" x14ac:dyDescent="0.3">
      <c r="A95" s="14" t="s">
        <v>136</v>
      </c>
      <c r="B95" s="14">
        <f>VLOOKUP(A95,Data!$A$1:$N$201,10,0)</f>
        <v>17327.560000000001</v>
      </c>
      <c r="C95" s="14" t="str">
        <f>VLOOKUP(A95,Data!$A$1:$N$201,5,0)</f>
        <v>Central</v>
      </c>
      <c r="D95" s="14" t="str">
        <f>VLOOKUP(A95,Data!$A$1:$N$201,6,0)</f>
        <v>Germany</v>
      </c>
      <c r="E95" s="14">
        <f>VLOOKUP(A95,Data!$A$1:$N$201,11,0)</f>
        <v>8</v>
      </c>
      <c r="F95" s="14">
        <f>VLOOKUP(A95,Data!A89:N289,14,0)</f>
        <v>3416.55</v>
      </c>
      <c r="G95" s="14">
        <f>VLOOKUP(A95,Data!$A$1:$O$201,15,0)</f>
        <v>2165.9450000000002</v>
      </c>
    </row>
    <row r="96" spans="1:7" x14ac:dyDescent="0.3">
      <c r="A96" s="14" t="s">
        <v>137</v>
      </c>
      <c r="B96" s="14">
        <f>VLOOKUP(A96,Data!$A$1:$N$201,10,0)</f>
        <v>32273.13</v>
      </c>
      <c r="C96" s="14" t="str">
        <f>VLOOKUP(A96,Data!$A$1:$N$201,5,0)</f>
        <v>North</v>
      </c>
      <c r="D96" s="14" t="str">
        <f>VLOOKUP(A96,Data!$A$1:$N$201,6,0)</f>
        <v>Australia</v>
      </c>
      <c r="E96" s="14">
        <f>VLOOKUP(A96,Data!$A$1:$N$201,11,0)</f>
        <v>10</v>
      </c>
      <c r="F96" s="14">
        <f>VLOOKUP(A96,Data!A90:N290,14,0)</f>
        <v>9873.31</v>
      </c>
      <c r="G96" s="14">
        <f>VLOOKUP(A96,Data!$A$1:$O$201,15,0)</f>
        <v>3227.3130000000001</v>
      </c>
    </row>
    <row r="97" spans="1:7" x14ac:dyDescent="0.3">
      <c r="A97" s="14" t="s">
        <v>138</v>
      </c>
      <c r="B97" s="14">
        <f>VLOOKUP(A97,Data!$A$1:$N$201,10,0)</f>
        <v>9259.2199999999993</v>
      </c>
      <c r="C97" s="14" t="str">
        <f>VLOOKUP(A97,Data!$A$1:$N$201,5,0)</f>
        <v>Central</v>
      </c>
      <c r="D97" s="14" t="str">
        <f>VLOOKUP(A97,Data!$A$1:$N$201,6,0)</f>
        <v>USA</v>
      </c>
      <c r="E97" s="14">
        <f>VLOOKUP(A97,Data!$A$1:$N$201,11,0)</f>
        <v>9</v>
      </c>
      <c r="F97" s="14">
        <f>VLOOKUP(A97,Data!A91:N291,14,0)</f>
        <v>1928.78</v>
      </c>
      <c r="G97" s="14">
        <f>VLOOKUP(A97,Data!$A$1:$O$201,15,0)</f>
        <v>1028.8022222222221</v>
      </c>
    </row>
    <row r="98" spans="1:7" x14ac:dyDescent="0.3">
      <c r="A98" s="14" t="s">
        <v>139</v>
      </c>
      <c r="B98" s="14">
        <f>VLOOKUP(A98,Data!$A$1:$N$201,10,0)</f>
        <v>33090.85</v>
      </c>
      <c r="C98" s="14" t="str">
        <f>VLOOKUP(A98,Data!$A$1:$N$201,5,0)</f>
        <v>South</v>
      </c>
      <c r="D98" s="14" t="str">
        <f>VLOOKUP(A98,Data!$A$1:$N$201,6,0)</f>
        <v>USA</v>
      </c>
      <c r="E98" s="14">
        <f>VLOOKUP(A98,Data!$A$1:$N$201,11,0)</f>
        <v>1</v>
      </c>
      <c r="F98" s="14">
        <f>VLOOKUP(A98,Data!A92:N292,14,0)</f>
        <v>7046.92</v>
      </c>
      <c r="G98" s="14">
        <f>VLOOKUP(A98,Data!$A$1:$O$201,15,0)</f>
        <v>33090.85</v>
      </c>
    </row>
    <row r="99" spans="1:7" x14ac:dyDescent="0.3">
      <c r="A99" s="14" t="s">
        <v>140</v>
      </c>
      <c r="B99" s="14">
        <f>VLOOKUP(A99,Data!$A$1:$N$201,10,0)</f>
        <v>34516.370000000003</v>
      </c>
      <c r="C99" s="14" t="str">
        <f>VLOOKUP(A99,Data!$A$1:$N$201,5,0)</f>
        <v>East</v>
      </c>
      <c r="D99" s="14" t="str">
        <f>VLOOKUP(A99,Data!$A$1:$N$201,6,0)</f>
        <v>UK</v>
      </c>
      <c r="E99" s="14">
        <f>VLOOKUP(A99,Data!$A$1:$N$201,11,0)</f>
        <v>10</v>
      </c>
      <c r="F99" s="14">
        <f>VLOOKUP(A99,Data!A93:N293,14,0)</f>
        <v>8757.2800000000007</v>
      </c>
      <c r="G99" s="14">
        <f>VLOOKUP(A99,Data!$A$1:$O$201,15,0)</f>
        <v>3451.6370000000002</v>
      </c>
    </row>
    <row r="100" spans="1:7" x14ac:dyDescent="0.3">
      <c r="A100" s="14" t="s">
        <v>141</v>
      </c>
      <c r="B100" s="14">
        <f>VLOOKUP(A100,Data!$A$1:$N$201,10,0)</f>
        <v>29110.13</v>
      </c>
      <c r="C100" s="14" t="str">
        <f>VLOOKUP(A100,Data!$A$1:$N$201,5,0)</f>
        <v>West</v>
      </c>
      <c r="D100" s="14" t="str">
        <f>VLOOKUP(A100,Data!$A$1:$N$201,6,0)</f>
        <v>Australia</v>
      </c>
      <c r="E100" s="14">
        <f>VLOOKUP(A100,Data!$A$1:$N$201,11,0)</f>
        <v>3</v>
      </c>
      <c r="F100" s="14">
        <f>VLOOKUP(A100,Data!A94:N294,14,0)</f>
        <v>11871.06</v>
      </c>
      <c r="G100" s="14">
        <f>VLOOKUP(A100,Data!$A$1:$O$201,15,0)</f>
        <v>9703.376666666667</v>
      </c>
    </row>
    <row r="101" spans="1:7" x14ac:dyDescent="0.3">
      <c r="A101" s="14" t="s">
        <v>142</v>
      </c>
      <c r="B101" s="14">
        <f>VLOOKUP(A101,Data!$A$1:$N$201,10,0)</f>
        <v>8797.35</v>
      </c>
      <c r="C101" s="14" t="str">
        <f>VLOOKUP(A101,Data!$A$1:$N$201,5,0)</f>
        <v>West</v>
      </c>
      <c r="D101" s="14" t="str">
        <f>VLOOKUP(A101,Data!$A$1:$N$201,6,0)</f>
        <v>USA</v>
      </c>
      <c r="E101" s="14">
        <f>VLOOKUP(A101,Data!$A$1:$N$201,11,0)</f>
        <v>2</v>
      </c>
      <c r="F101" s="14">
        <f>VLOOKUP(A101,Data!A95:N295,14,0)</f>
        <v>3340.1</v>
      </c>
      <c r="G101" s="14">
        <f>VLOOKUP(A101,Data!$A$1:$O$201,15,0)</f>
        <v>4398.6750000000002</v>
      </c>
    </row>
    <row r="102" spans="1:7" x14ac:dyDescent="0.3">
      <c r="A102" s="14" t="s">
        <v>143</v>
      </c>
      <c r="B102" s="14">
        <f>VLOOKUP(A102,Data!$A$1:$N$201,10,0)</f>
        <v>9537.34</v>
      </c>
      <c r="C102" s="14" t="str">
        <f>VLOOKUP(A102,Data!$A$1:$N$201,5,0)</f>
        <v>Central</v>
      </c>
      <c r="D102" s="14" t="str">
        <f>VLOOKUP(A102,Data!$A$1:$N$201,6,0)</f>
        <v>USA</v>
      </c>
      <c r="E102" s="14">
        <f>VLOOKUP(A102,Data!$A$1:$N$201,11,0)</f>
        <v>2</v>
      </c>
      <c r="F102" s="14">
        <f>VLOOKUP(A102,Data!A96:N296,14,0)</f>
        <v>3493.04</v>
      </c>
      <c r="G102" s="14">
        <f>VLOOKUP(A102,Data!$A$1:$O$201,15,0)</f>
        <v>4768.67</v>
      </c>
    </row>
    <row r="103" spans="1:7" x14ac:dyDescent="0.3">
      <c r="A103" s="14" t="s">
        <v>144</v>
      </c>
      <c r="B103" s="14">
        <f>VLOOKUP(A103,Data!$A$1:$N$201,10,0)</f>
        <v>3320.34</v>
      </c>
      <c r="C103" s="14" t="str">
        <f>VLOOKUP(A103,Data!$A$1:$N$201,5,0)</f>
        <v>North</v>
      </c>
      <c r="D103" s="14" t="str">
        <f>VLOOKUP(A103,Data!$A$1:$N$201,6,0)</f>
        <v>India</v>
      </c>
      <c r="E103" s="14">
        <f>VLOOKUP(A103,Data!$A$1:$N$201,11,0)</f>
        <v>11</v>
      </c>
      <c r="F103" s="14">
        <f>VLOOKUP(A103,Data!A97:N297,14,0)</f>
        <v>571.85</v>
      </c>
      <c r="G103" s="14">
        <f>VLOOKUP(A103,Data!$A$1:$O$201,15,0)</f>
        <v>301.84909090909093</v>
      </c>
    </row>
    <row r="104" spans="1:7" x14ac:dyDescent="0.3">
      <c r="A104" s="14" t="s">
        <v>145</v>
      </c>
      <c r="B104" s="14">
        <f>VLOOKUP(A104,Data!$A$1:$N$201,10,0)</f>
        <v>2811.01</v>
      </c>
      <c r="C104" s="14" t="str">
        <f>VLOOKUP(A104,Data!$A$1:$N$201,5,0)</f>
        <v>West</v>
      </c>
      <c r="D104" s="14" t="str">
        <f>VLOOKUP(A104,Data!$A$1:$N$201,6,0)</f>
        <v>Germany</v>
      </c>
      <c r="E104" s="14">
        <f>VLOOKUP(A104,Data!$A$1:$N$201,11,0)</f>
        <v>10</v>
      </c>
      <c r="F104" s="14">
        <f>VLOOKUP(A104,Data!A98:N298,14,0)</f>
        <v>574.49</v>
      </c>
      <c r="G104" s="14">
        <f>VLOOKUP(A104,Data!$A$1:$O$201,15,0)</f>
        <v>281.101</v>
      </c>
    </row>
    <row r="105" spans="1:7" x14ac:dyDescent="0.3">
      <c r="A105" s="14" t="s">
        <v>146</v>
      </c>
      <c r="B105" s="14">
        <f>VLOOKUP(A105,Data!$A$1:$N$201,10,0)</f>
        <v>29771.53</v>
      </c>
      <c r="C105" s="14" t="str">
        <f>VLOOKUP(A105,Data!$A$1:$N$201,5,0)</f>
        <v>West</v>
      </c>
      <c r="D105" s="14" t="str">
        <f>VLOOKUP(A105,Data!$A$1:$N$201,6,0)</f>
        <v>India</v>
      </c>
      <c r="E105" s="14">
        <f>VLOOKUP(A105,Data!$A$1:$N$201,11,0)</f>
        <v>11</v>
      </c>
      <c r="F105" s="14">
        <f>VLOOKUP(A105,Data!A99:N299,14,0)</f>
        <v>7276.59</v>
      </c>
      <c r="G105" s="14">
        <f>VLOOKUP(A105,Data!$A$1:$O$201,15,0)</f>
        <v>2706.502727272727</v>
      </c>
    </row>
    <row r="106" spans="1:7" x14ac:dyDescent="0.3">
      <c r="A106" s="14" t="s">
        <v>147</v>
      </c>
      <c r="B106" s="14">
        <f>VLOOKUP(A106,Data!$A$1:$N$201,10,0)</f>
        <v>20067.45</v>
      </c>
      <c r="C106" s="14" t="str">
        <f>VLOOKUP(A106,Data!$A$1:$N$201,5,0)</f>
        <v>East</v>
      </c>
      <c r="D106" s="14" t="str">
        <f>VLOOKUP(A106,Data!$A$1:$N$201,6,0)</f>
        <v>Germany</v>
      </c>
      <c r="E106" s="14">
        <f>VLOOKUP(A106,Data!$A$1:$N$201,11,0)</f>
        <v>3</v>
      </c>
      <c r="F106" s="14">
        <f>VLOOKUP(A106,Data!A100:N300,14,0)</f>
        <v>6093.17</v>
      </c>
      <c r="G106" s="14">
        <f>VLOOKUP(A106,Data!$A$1:$O$201,15,0)</f>
        <v>6689.1500000000005</v>
      </c>
    </row>
    <row r="107" spans="1:7" x14ac:dyDescent="0.3">
      <c r="A107" s="14" t="s">
        <v>148</v>
      </c>
      <c r="B107" s="14">
        <f>VLOOKUP(A107,Data!$A$1:$N$201,10,0)</f>
        <v>30651.24</v>
      </c>
      <c r="C107" s="14" t="str">
        <f>VLOOKUP(A107,Data!$A$1:$N$201,5,0)</f>
        <v>West</v>
      </c>
      <c r="D107" s="14" t="str">
        <f>VLOOKUP(A107,Data!$A$1:$N$201,6,0)</f>
        <v>UK</v>
      </c>
      <c r="E107" s="14">
        <f>VLOOKUP(A107,Data!$A$1:$N$201,11,0)</f>
        <v>8</v>
      </c>
      <c r="F107" s="14">
        <f>VLOOKUP(A107,Data!A101:N301,14,0)</f>
        <v>8885.2900000000009</v>
      </c>
      <c r="G107" s="14">
        <f>VLOOKUP(A107,Data!$A$1:$O$201,15,0)</f>
        <v>3831.4050000000002</v>
      </c>
    </row>
    <row r="108" spans="1:7" x14ac:dyDescent="0.3">
      <c r="A108" s="14" t="s">
        <v>149</v>
      </c>
      <c r="B108" s="14">
        <f>VLOOKUP(A108,Data!$A$1:$N$201,10,0)</f>
        <v>11883.65</v>
      </c>
      <c r="C108" s="14" t="str">
        <f>VLOOKUP(A108,Data!$A$1:$N$201,5,0)</f>
        <v>South</v>
      </c>
      <c r="D108" s="14" t="str">
        <f>VLOOKUP(A108,Data!$A$1:$N$201,6,0)</f>
        <v>UK</v>
      </c>
      <c r="E108" s="14">
        <f>VLOOKUP(A108,Data!$A$1:$N$201,11,0)</f>
        <v>3</v>
      </c>
      <c r="F108" s="14">
        <f>VLOOKUP(A108,Data!A102:N302,14,0)</f>
        <v>5150.1000000000004</v>
      </c>
      <c r="G108" s="14">
        <f>VLOOKUP(A108,Data!$A$1:$O$201,15,0)</f>
        <v>3961.2166666666667</v>
      </c>
    </row>
    <row r="109" spans="1:7" x14ac:dyDescent="0.3">
      <c r="A109" s="14" t="s">
        <v>150</v>
      </c>
      <c r="B109" s="14">
        <f>VLOOKUP(A109,Data!$A$1:$N$201,10,0)</f>
        <v>14334.46</v>
      </c>
      <c r="C109" s="14" t="str">
        <f>VLOOKUP(A109,Data!$A$1:$N$201,5,0)</f>
        <v>South</v>
      </c>
      <c r="D109" s="14" t="str">
        <f>VLOOKUP(A109,Data!$A$1:$N$201,6,0)</f>
        <v>UK</v>
      </c>
      <c r="E109" s="14">
        <f>VLOOKUP(A109,Data!$A$1:$N$201,11,0)</f>
        <v>1</v>
      </c>
      <c r="F109" s="14">
        <f>VLOOKUP(A109,Data!A103:N303,14,0)</f>
        <v>4126.82</v>
      </c>
      <c r="G109" s="14">
        <f>VLOOKUP(A109,Data!$A$1:$O$201,15,0)</f>
        <v>14334.46</v>
      </c>
    </row>
    <row r="110" spans="1:7" x14ac:dyDescent="0.3">
      <c r="A110" s="14" t="s">
        <v>151</v>
      </c>
      <c r="B110" s="14">
        <f>VLOOKUP(A110,Data!$A$1:$N$201,10,0)</f>
        <v>35872.379999999997</v>
      </c>
      <c r="C110" s="14" t="str">
        <f>VLOOKUP(A110,Data!$A$1:$N$201,5,0)</f>
        <v>North</v>
      </c>
      <c r="D110" s="14" t="str">
        <f>VLOOKUP(A110,Data!$A$1:$N$201,6,0)</f>
        <v>Germany</v>
      </c>
      <c r="E110" s="14">
        <f>VLOOKUP(A110,Data!$A$1:$N$201,11,0)</f>
        <v>7</v>
      </c>
      <c r="F110" s="14">
        <f>VLOOKUP(A110,Data!A104:N304,14,0)</f>
        <v>15261.43</v>
      </c>
      <c r="G110" s="14">
        <f>VLOOKUP(A110,Data!$A$1:$O$201,15,0)</f>
        <v>5124.6257142857139</v>
      </c>
    </row>
    <row r="111" spans="1:7" x14ac:dyDescent="0.3">
      <c r="A111" s="14" t="s">
        <v>152</v>
      </c>
      <c r="B111" s="14">
        <f>VLOOKUP(A111,Data!$A$1:$N$201,10,0)</f>
        <v>39897.43</v>
      </c>
      <c r="C111" s="14" t="str">
        <f>VLOOKUP(A111,Data!$A$1:$N$201,5,0)</f>
        <v>Central</v>
      </c>
      <c r="D111" s="14" t="str">
        <f>VLOOKUP(A111,Data!$A$1:$N$201,6,0)</f>
        <v>USA</v>
      </c>
      <c r="E111" s="14">
        <f>VLOOKUP(A111,Data!$A$1:$N$201,11,0)</f>
        <v>11</v>
      </c>
      <c r="F111" s="14">
        <f>VLOOKUP(A111,Data!A105:N305,14,0)</f>
        <v>11418.42</v>
      </c>
      <c r="G111" s="14">
        <f>VLOOKUP(A111,Data!$A$1:$O$201,15,0)</f>
        <v>3627.0390909090911</v>
      </c>
    </row>
    <row r="112" spans="1:7" x14ac:dyDescent="0.3">
      <c r="A112" s="14" t="s">
        <v>153</v>
      </c>
      <c r="B112" s="14">
        <f>VLOOKUP(A112,Data!$A$1:$N$201,10,0)</f>
        <v>4788.83</v>
      </c>
      <c r="C112" s="14" t="str">
        <f>VLOOKUP(A112,Data!$A$1:$N$201,5,0)</f>
        <v>East</v>
      </c>
      <c r="D112" s="14" t="str">
        <f>VLOOKUP(A112,Data!$A$1:$N$201,6,0)</f>
        <v>Australia</v>
      </c>
      <c r="E112" s="14">
        <f>VLOOKUP(A112,Data!$A$1:$N$201,11,0)</f>
        <v>3</v>
      </c>
      <c r="F112" s="14">
        <f>VLOOKUP(A112,Data!A106:N306,14,0)</f>
        <v>1477.33</v>
      </c>
      <c r="G112" s="14">
        <f>VLOOKUP(A112,Data!$A$1:$O$201,15,0)</f>
        <v>1596.2766666666666</v>
      </c>
    </row>
    <row r="113" spans="1:7" x14ac:dyDescent="0.3">
      <c r="A113" s="14" t="s">
        <v>154</v>
      </c>
      <c r="B113" s="14">
        <f>VLOOKUP(A113,Data!$A$1:$N$201,10,0)</f>
        <v>31346.68</v>
      </c>
      <c r="C113" s="14" t="str">
        <f>VLOOKUP(A113,Data!$A$1:$N$201,5,0)</f>
        <v>East</v>
      </c>
      <c r="D113" s="14" t="str">
        <f>VLOOKUP(A113,Data!$A$1:$N$201,6,0)</f>
        <v>USA</v>
      </c>
      <c r="E113" s="14">
        <f>VLOOKUP(A113,Data!$A$1:$N$201,11,0)</f>
        <v>1</v>
      </c>
      <c r="F113" s="14">
        <f>VLOOKUP(A113,Data!A107:N307,14,0)</f>
        <v>8013.26</v>
      </c>
      <c r="G113" s="14">
        <f>VLOOKUP(A113,Data!$A$1:$O$201,15,0)</f>
        <v>31346.68</v>
      </c>
    </row>
    <row r="114" spans="1:7" x14ac:dyDescent="0.3">
      <c r="A114" s="14" t="s">
        <v>155</v>
      </c>
      <c r="B114" s="14">
        <f>VLOOKUP(A114,Data!$A$1:$N$201,10,0)</f>
        <v>22601.02</v>
      </c>
      <c r="C114" s="14" t="str">
        <f>VLOOKUP(A114,Data!$A$1:$N$201,5,0)</f>
        <v>West</v>
      </c>
      <c r="D114" s="14" t="str">
        <f>VLOOKUP(A114,Data!$A$1:$N$201,6,0)</f>
        <v>Australia</v>
      </c>
      <c r="E114" s="14">
        <f>VLOOKUP(A114,Data!$A$1:$N$201,11,0)</f>
        <v>7</v>
      </c>
      <c r="F114" s="14">
        <f>VLOOKUP(A114,Data!A108:N308,14,0)</f>
        <v>9017.7000000000007</v>
      </c>
      <c r="G114" s="14">
        <f>VLOOKUP(A114,Data!$A$1:$O$201,15,0)</f>
        <v>3228.7171428571428</v>
      </c>
    </row>
    <row r="115" spans="1:7" x14ac:dyDescent="0.3">
      <c r="A115" s="14" t="s">
        <v>156</v>
      </c>
      <c r="B115" s="14">
        <f>VLOOKUP(A115,Data!$A$1:$N$201,10,0)</f>
        <v>978.31</v>
      </c>
      <c r="C115" s="14" t="str">
        <f>VLOOKUP(A115,Data!$A$1:$N$201,5,0)</f>
        <v>West</v>
      </c>
      <c r="D115" s="14" t="str">
        <f>VLOOKUP(A115,Data!$A$1:$N$201,6,0)</f>
        <v>USA</v>
      </c>
      <c r="E115" s="14">
        <f>VLOOKUP(A115,Data!$A$1:$N$201,11,0)</f>
        <v>1</v>
      </c>
      <c r="F115" s="14">
        <f>VLOOKUP(A115,Data!A109:N309,14,0)</f>
        <v>386.51</v>
      </c>
      <c r="G115" s="14">
        <f>VLOOKUP(A115,Data!$A$1:$O$201,15,0)</f>
        <v>978.31</v>
      </c>
    </row>
    <row r="116" spans="1:7" x14ac:dyDescent="0.3">
      <c r="A116" s="14" t="s">
        <v>157</v>
      </c>
      <c r="B116" s="14">
        <f>VLOOKUP(A116,Data!$A$1:$N$201,10,0)</f>
        <v>24968.77</v>
      </c>
      <c r="C116" s="14" t="str">
        <f>VLOOKUP(A116,Data!$A$1:$N$201,5,0)</f>
        <v>South</v>
      </c>
      <c r="D116" s="14" t="str">
        <f>VLOOKUP(A116,Data!$A$1:$N$201,6,0)</f>
        <v>Germany</v>
      </c>
      <c r="E116" s="14">
        <f>VLOOKUP(A116,Data!$A$1:$N$201,11,0)</f>
        <v>9</v>
      </c>
      <c r="F116" s="14">
        <f>VLOOKUP(A116,Data!A110:N310,14,0)</f>
        <v>11024.97</v>
      </c>
      <c r="G116" s="14">
        <f>VLOOKUP(A116,Data!$A$1:$O$201,15,0)</f>
        <v>2774.307777777778</v>
      </c>
    </row>
    <row r="117" spans="1:7" x14ac:dyDescent="0.3">
      <c r="A117" s="14" t="s">
        <v>158</v>
      </c>
      <c r="B117" s="14">
        <f>VLOOKUP(A117,Data!$A$1:$N$201,10,0)</f>
        <v>11773.18</v>
      </c>
      <c r="C117" s="14" t="str">
        <f>VLOOKUP(A117,Data!$A$1:$N$201,5,0)</f>
        <v>East</v>
      </c>
      <c r="D117" s="14" t="str">
        <f>VLOOKUP(A117,Data!$A$1:$N$201,6,0)</f>
        <v>UK</v>
      </c>
      <c r="E117" s="14">
        <f>VLOOKUP(A117,Data!$A$1:$N$201,11,0)</f>
        <v>3</v>
      </c>
      <c r="F117" s="14">
        <f>VLOOKUP(A117,Data!A111:N311,14,0)</f>
        <v>1791.06</v>
      </c>
      <c r="G117" s="14">
        <f>VLOOKUP(A117,Data!$A$1:$O$201,15,0)</f>
        <v>3924.3933333333334</v>
      </c>
    </row>
    <row r="118" spans="1:7" x14ac:dyDescent="0.3">
      <c r="A118" s="14" t="s">
        <v>159</v>
      </c>
      <c r="B118" s="14">
        <f>VLOOKUP(A118,Data!$A$1:$N$201,10,0)</f>
        <v>14542.07</v>
      </c>
      <c r="C118" s="14" t="str">
        <f>VLOOKUP(A118,Data!$A$1:$N$201,5,0)</f>
        <v>North</v>
      </c>
      <c r="D118" s="14" t="str">
        <f>VLOOKUP(A118,Data!$A$1:$N$201,6,0)</f>
        <v>Germany</v>
      </c>
      <c r="E118" s="14">
        <f>VLOOKUP(A118,Data!$A$1:$N$201,11,0)</f>
        <v>1</v>
      </c>
      <c r="F118" s="14">
        <f>VLOOKUP(A118,Data!A112:N312,14,0)</f>
        <v>3863.21</v>
      </c>
      <c r="G118" s="14">
        <f>VLOOKUP(A118,Data!$A$1:$O$201,15,0)</f>
        <v>14542.07</v>
      </c>
    </row>
    <row r="119" spans="1:7" x14ac:dyDescent="0.3">
      <c r="A119" s="14" t="s">
        <v>160</v>
      </c>
      <c r="B119" s="14">
        <f>VLOOKUP(A119,Data!$A$1:$N$201,10,0)</f>
        <v>38795.730000000003</v>
      </c>
      <c r="C119" s="14" t="str">
        <f>VLOOKUP(A119,Data!$A$1:$N$201,5,0)</f>
        <v>North</v>
      </c>
      <c r="D119" s="14" t="str">
        <f>VLOOKUP(A119,Data!$A$1:$N$201,6,0)</f>
        <v>India</v>
      </c>
      <c r="E119" s="14">
        <f>VLOOKUP(A119,Data!$A$1:$N$201,11,0)</f>
        <v>1</v>
      </c>
      <c r="F119" s="14">
        <f>VLOOKUP(A119,Data!A113:N313,14,0)</f>
        <v>13779.08</v>
      </c>
      <c r="G119" s="14">
        <f>VLOOKUP(A119,Data!$A$1:$O$201,15,0)</f>
        <v>38795.730000000003</v>
      </c>
    </row>
    <row r="120" spans="1:7" x14ac:dyDescent="0.3">
      <c r="A120" s="14" t="s">
        <v>161</v>
      </c>
      <c r="B120" s="14">
        <f>VLOOKUP(A120,Data!$A$1:$N$201,10,0)</f>
        <v>29912.97</v>
      </c>
      <c r="C120" s="14" t="str">
        <f>VLOOKUP(A120,Data!$A$1:$N$201,5,0)</f>
        <v>North</v>
      </c>
      <c r="D120" s="14" t="str">
        <f>VLOOKUP(A120,Data!$A$1:$N$201,6,0)</f>
        <v>India</v>
      </c>
      <c r="E120" s="14">
        <f>VLOOKUP(A120,Data!$A$1:$N$201,11,0)</f>
        <v>7</v>
      </c>
      <c r="F120" s="14">
        <f>VLOOKUP(A120,Data!A114:N314,14,0)</f>
        <v>9401.7199999999993</v>
      </c>
      <c r="G120" s="14">
        <f>VLOOKUP(A120,Data!$A$1:$O$201,15,0)</f>
        <v>4273.2814285714285</v>
      </c>
    </row>
    <row r="121" spans="1:7" x14ac:dyDescent="0.3">
      <c r="A121" s="14" t="s">
        <v>162</v>
      </c>
      <c r="B121" s="14">
        <f>VLOOKUP(A121,Data!$A$1:$N$201,10,0)</f>
        <v>2937.25</v>
      </c>
      <c r="C121" s="14" t="str">
        <f>VLOOKUP(A121,Data!$A$1:$N$201,5,0)</f>
        <v>Central</v>
      </c>
      <c r="D121" s="14" t="str">
        <f>VLOOKUP(A121,Data!$A$1:$N$201,6,0)</f>
        <v>UK</v>
      </c>
      <c r="E121" s="14">
        <f>VLOOKUP(A121,Data!$A$1:$N$201,11,0)</f>
        <v>10</v>
      </c>
      <c r="F121" s="14">
        <f>VLOOKUP(A121,Data!A115:N315,14,0)</f>
        <v>1082.4000000000001</v>
      </c>
      <c r="G121" s="14">
        <f>VLOOKUP(A121,Data!$A$1:$O$201,15,0)</f>
        <v>293.72500000000002</v>
      </c>
    </row>
    <row r="122" spans="1:7" x14ac:dyDescent="0.3">
      <c r="A122" s="14" t="s">
        <v>163</v>
      </c>
      <c r="B122" s="14">
        <f>VLOOKUP(A122,Data!$A$1:$N$201,10,0)</f>
        <v>27494.25</v>
      </c>
      <c r="C122" s="14" t="str">
        <f>VLOOKUP(A122,Data!$A$1:$N$201,5,0)</f>
        <v>South</v>
      </c>
      <c r="D122" s="14" t="str">
        <f>VLOOKUP(A122,Data!$A$1:$N$201,6,0)</f>
        <v>Australia</v>
      </c>
      <c r="E122" s="14">
        <f>VLOOKUP(A122,Data!$A$1:$N$201,11,0)</f>
        <v>1</v>
      </c>
      <c r="F122" s="14">
        <f>VLOOKUP(A122,Data!A116:N316,14,0)</f>
        <v>9629.08</v>
      </c>
      <c r="G122" s="14">
        <f>VLOOKUP(A122,Data!$A$1:$O$201,15,0)</f>
        <v>27494.25</v>
      </c>
    </row>
    <row r="123" spans="1:7" x14ac:dyDescent="0.3">
      <c r="A123" s="14" t="s">
        <v>164</v>
      </c>
      <c r="B123" s="14">
        <f>VLOOKUP(A123,Data!$A$1:$N$201,10,0)</f>
        <v>1309.43</v>
      </c>
      <c r="C123" s="14" t="str">
        <f>VLOOKUP(A123,Data!$A$1:$N$201,5,0)</f>
        <v>East</v>
      </c>
      <c r="D123" s="14" t="str">
        <f>VLOOKUP(A123,Data!$A$1:$N$201,6,0)</f>
        <v>India</v>
      </c>
      <c r="E123" s="14">
        <f>VLOOKUP(A123,Data!$A$1:$N$201,11,0)</f>
        <v>4</v>
      </c>
      <c r="F123" s="14">
        <f>VLOOKUP(A123,Data!A117:N317,14,0)</f>
        <v>222.5</v>
      </c>
      <c r="G123" s="14">
        <f>VLOOKUP(A123,Data!$A$1:$O$201,15,0)</f>
        <v>327.35750000000002</v>
      </c>
    </row>
    <row r="124" spans="1:7" x14ac:dyDescent="0.3">
      <c r="A124" s="14" t="s">
        <v>165</v>
      </c>
      <c r="B124" s="14">
        <f>VLOOKUP(A124,Data!$A$1:$N$201,10,0)</f>
        <v>35538.800000000003</v>
      </c>
      <c r="C124" s="14" t="str">
        <f>VLOOKUP(A124,Data!$A$1:$N$201,5,0)</f>
        <v>West</v>
      </c>
      <c r="D124" s="14" t="str">
        <f>VLOOKUP(A124,Data!$A$1:$N$201,6,0)</f>
        <v>Australia</v>
      </c>
      <c r="E124" s="14">
        <f>VLOOKUP(A124,Data!$A$1:$N$201,11,0)</f>
        <v>6</v>
      </c>
      <c r="F124" s="14">
        <f>VLOOKUP(A124,Data!A118:N318,14,0)</f>
        <v>10566.28</v>
      </c>
      <c r="G124" s="14">
        <f>VLOOKUP(A124,Data!$A$1:$O$201,15,0)</f>
        <v>5923.1333333333341</v>
      </c>
    </row>
    <row r="125" spans="1:7" x14ac:dyDescent="0.3">
      <c r="A125" s="14" t="s">
        <v>166</v>
      </c>
      <c r="B125" s="14">
        <f>VLOOKUP(A125,Data!$A$1:$N$201,10,0)</f>
        <v>24189.95</v>
      </c>
      <c r="C125" s="14" t="str">
        <f>VLOOKUP(A125,Data!$A$1:$N$201,5,0)</f>
        <v>Central</v>
      </c>
      <c r="D125" s="14" t="str">
        <f>VLOOKUP(A125,Data!$A$1:$N$201,6,0)</f>
        <v>Australia</v>
      </c>
      <c r="E125" s="14">
        <f>VLOOKUP(A125,Data!$A$1:$N$201,11,0)</f>
        <v>8</v>
      </c>
      <c r="F125" s="14">
        <f>VLOOKUP(A125,Data!A119:N319,14,0)</f>
        <v>7515.77</v>
      </c>
      <c r="G125" s="14">
        <f>VLOOKUP(A125,Data!$A$1:$O$201,15,0)</f>
        <v>3023.7437500000001</v>
      </c>
    </row>
    <row r="126" spans="1:7" x14ac:dyDescent="0.3">
      <c r="A126" s="14" t="s">
        <v>167</v>
      </c>
      <c r="B126" s="14">
        <f>VLOOKUP(A126,Data!$A$1:$N$201,10,0)</f>
        <v>25528.2</v>
      </c>
      <c r="C126" s="14" t="str">
        <f>VLOOKUP(A126,Data!$A$1:$N$201,5,0)</f>
        <v>North</v>
      </c>
      <c r="D126" s="14" t="str">
        <f>VLOOKUP(A126,Data!$A$1:$N$201,6,0)</f>
        <v>Australia</v>
      </c>
      <c r="E126" s="14">
        <f>VLOOKUP(A126,Data!$A$1:$N$201,11,0)</f>
        <v>7</v>
      </c>
      <c r="F126" s="14">
        <f>VLOOKUP(A126,Data!A120:N320,14,0)</f>
        <v>9281.07</v>
      </c>
      <c r="G126" s="14">
        <f>VLOOKUP(A126,Data!$A$1:$O$201,15,0)</f>
        <v>3646.8857142857146</v>
      </c>
    </row>
    <row r="127" spans="1:7" x14ac:dyDescent="0.3">
      <c r="A127" s="14" t="s">
        <v>168</v>
      </c>
      <c r="B127" s="14">
        <f>VLOOKUP(A127,Data!$A$1:$N$201,10,0)</f>
        <v>1444.79</v>
      </c>
      <c r="C127" s="14" t="str">
        <f>VLOOKUP(A127,Data!$A$1:$N$201,5,0)</f>
        <v>East</v>
      </c>
      <c r="D127" s="14" t="str">
        <f>VLOOKUP(A127,Data!$A$1:$N$201,6,0)</f>
        <v>India</v>
      </c>
      <c r="E127" s="14">
        <f>VLOOKUP(A127,Data!$A$1:$N$201,11,0)</f>
        <v>11</v>
      </c>
      <c r="F127" s="14">
        <f>VLOOKUP(A127,Data!A121:N321,14,0)</f>
        <v>367.72</v>
      </c>
      <c r="G127" s="14">
        <f>VLOOKUP(A127,Data!$A$1:$O$201,15,0)</f>
        <v>131.34454545454545</v>
      </c>
    </row>
    <row r="128" spans="1:7" x14ac:dyDescent="0.3">
      <c r="A128" s="14" t="s">
        <v>169</v>
      </c>
      <c r="B128" s="14">
        <f>VLOOKUP(A128,Data!$A$1:$N$201,10,0)</f>
        <v>4084.41</v>
      </c>
      <c r="C128" s="14" t="str">
        <f>VLOOKUP(A128,Data!$A$1:$N$201,5,0)</f>
        <v>South</v>
      </c>
      <c r="D128" s="14" t="str">
        <f>VLOOKUP(A128,Data!$A$1:$N$201,6,0)</f>
        <v>Australia</v>
      </c>
      <c r="E128" s="14">
        <f>VLOOKUP(A128,Data!$A$1:$N$201,11,0)</f>
        <v>7</v>
      </c>
      <c r="F128" s="14">
        <f>VLOOKUP(A128,Data!A122:N322,14,0)</f>
        <v>1423.21</v>
      </c>
      <c r="G128" s="14">
        <f>VLOOKUP(A128,Data!$A$1:$O$201,15,0)</f>
        <v>583.48714285714289</v>
      </c>
    </row>
    <row r="129" spans="1:7" x14ac:dyDescent="0.3">
      <c r="A129" s="14" t="s">
        <v>170</v>
      </c>
      <c r="B129" s="14">
        <f>VLOOKUP(A129,Data!$A$1:$N$201,10,0)</f>
        <v>21425.19</v>
      </c>
      <c r="C129" s="14" t="str">
        <f>VLOOKUP(A129,Data!$A$1:$N$201,5,0)</f>
        <v>West</v>
      </c>
      <c r="D129" s="14" t="str">
        <f>VLOOKUP(A129,Data!$A$1:$N$201,6,0)</f>
        <v>UK</v>
      </c>
      <c r="E129" s="14">
        <f>VLOOKUP(A129,Data!$A$1:$N$201,11,0)</f>
        <v>10</v>
      </c>
      <c r="F129" s="14">
        <f>VLOOKUP(A129,Data!A123:N323,14,0)</f>
        <v>8923.91</v>
      </c>
      <c r="G129" s="14">
        <f>VLOOKUP(A129,Data!$A$1:$O$201,15,0)</f>
        <v>2142.5189999999998</v>
      </c>
    </row>
    <row r="130" spans="1:7" x14ac:dyDescent="0.3">
      <c r="A130" s="14" t="s">
        <v>171</v>
      </c>
      <c r="B130" s="14">
        <f>VLOOKUP(A130,Data!$A$1:$N$201,10,0)</f>
        <v>15764</v>
      </c>
      <c r="C130" s="14" t="str">
        <f>VLOOKUP(A130,Data!$A$1:$N$201,5,0)</f>
        <v>South</v>
      </c>
      <c r="D130" s="14" t="str">
        <f>VLOOKUP(A130,Data!$A$1:$N$201,6,0)</f>
        <v>India</v>
      </c>
      <c r="E130" s="14">
        <f>VLOOKUP(A130,Data!$A$1:$N$201,11,0)</f>
        <v>4</v>
      </c>
      <c r="F130" s="14">
        <f>VLOOKUP(A130,Data!A124:N324,14,0)</f>
        <v>6094.36</v>
      </c>
      <c r="G130" s="14">
        <f>VLOOKUP(A130,Data!$A$1:$O$201,15,0)</f>
        <v>3941</v>
      </c>
    </row>
    <row r="131" spans="1:7" x14ac:dyDescent="0.3">
      <c r="A131" s="14" t="s">
        <v>172</v>
      </c>
      <c r="B131" s="14">
        <f>VLOOKUP(A131,Data!$A$1:$N$201,10,0)</f>
        <v>32877.18</v>
      </c>
      <c r="C131" s="14" t="str">
        <f>VLOOKUP(A131,Data!$A$1:$N$201,5,0)</f>
        <v>North</v>
      </c>
      <c r="D131" s="14" t="str">
        <f>VLOOKUP(A131,Data!$A$1:$N$201,6,0)</f>
        <v>Germany</v>
      </c>
      <c r="E131" s="14">
        <f>VLOOKUP(A131,Data!$A$1:$N$201,11,0)</f>
        <v>7</v>
      </c>
      <c r="F131" s="14">
        <f>VLOOKUP(A131,Data!A125:N325,14,0)</f>
        <v>6950.26</v>
      </c>
      <c r="G131" s="14">
        <f>VLOOKUP(A131,Data!$A$1:$O$201,15,0)</f>
        <v>4696.74</v>
      </c>
    </row>
    <row r="132" spans="1:7" x14ac:dyDescent="0.3">
      <c r="A132" s="14" t="s">
        <v>173</v>
      </c>
      <c r="B132" s="14">
        <f>VLOOKUP(A132,Data!$A$1:$N$201,10,0)</f>
        <v>11931.71</v>
      </c>
      <c r="C132" s="14" t="str">
        <f>VLOOKUP(A132,Data!$A$1:$N$201,5,0)</f>
        <v>South</v>
      </c>
      <c r="D132" s="14" t="str">
        <f>VLOOKUP(A132,Data!$A$1:$N$201,6,0)</f>
        <v>Germany</v>
      </c>
      <c r="E132" s="14">
        <f>VLOOKUP(A132,Data!$A$1:$N$201,11,0)</f>
        <v>2</v>
      </c>
      <c r="F132" s="14">
        <f>VLOOKUP(A132,Data!A126:N326,14,0)</f>
        <v>3729.59</v>
      </c>
      <c r="G132" s="14">
        <f>VLOOKUP(A132,Data!$A$1:$O$201,15,0)</f>
        <v>5965.8549999999996</v>
      </c>
    </row>
    <row r="133" spans="1:7" x14ac:dyDescent="0.3">
      <c r="A133" s="14" t="s">
        <v>174</v>
      </c>
      <c r="B133" s="14">
        <f>VLOOKUP(A133,Data!$A$1:$N$201,10,0)</f>
        <v>16466.89</v>
      </c>
      <c r="C133" s="14" t="str">
        <f>VLOOKUP(A133,Data!$A$1:$N$201,5,0)</f>
        <v>West</v>
      </c>
      <c r="D133" s="14" t="str">
        <f>VLOOKUP(A133,Data!$A$1:$N$201,6,0)</f>
        <v>USA</v>
      </c>
      <c r="E133" s="14">
        <f>VLOOKUP(A133,Data!$A$1:$N$201,11,0)</f>
        <v>4</v>
      </c>
      <c r="F133" s="14">
        <f>VLOOKUP(A133,Data!A127:N327,14,0)</f>
        <v>2529.63</v>
      </c>
      <c r="G133" s="14">
        <f>VLOOKUP(A133,Data!$A$1:$O$201,15,0)</f>
        <v>4116.7224999999999</v>
      </c>
    </row>
    <row r="134" spans="1:7" x14ac:dyDescent="0.3">
      <c r="A134" s="14" t="s">
        <v>175</v>
      </c>
      <c r="B134" s="14">
        <f>VLOOKUP(A134,Data!$A$1:$N$201,10,0)</f>
        <v>5503.95</v>
      </c>
      <c r="C134" s="14" t="str">
        <f>VLOOKUP(A134,Data!$A$1:$N$201,5,0)</f>
        <v>West</v>
      </c>
      <c r="D134" s="14" t="str">
        <f>VLOOKUP(A134,Data!$A$1:$N$201,6,0)</f>
        <v>India</v>
      </c>
      <c r="E134" s="14">
        <f>VLOOKUP(A134,Data!$A$1:$N$201,11,0)</f>
        <v>10</v>
      </c>
      <c r="F134" s="14">
        <f>VLOOKUP(A134,Data!A128:N328,14,0)</f>
        <v>1610.65</v>
      </c>
      <c r="G134" s="14">
        <f>VLOOKUP(A134,Data!$A$1:$O$201,15,0)</f>
        <v>550.39499999999998</v>
      </c>
    </row>
    <row r="135" spans="1:7" x14ac:dyDescent="0.3">
      <c r="A135" s="14" t="s">
        <v>176</v>
      </c>
      <c r="B135" s="14">
        <f>VLOOKUP(A135,Data!$A$1:$N$201,10,0)</f>
        <v>20512.54</v>
      </c>
      <c r="C135" s="14" t="str">
        <f>VLOOKUP(A135,Data!$A$1:$N$201,5,0)</f>
        <v>West</v>
      </c>
      <c r="D135" s="14" t="str">
        <f>VLOOKUP(A135,Data!$A$1:$N$201,6,0)</f>
        <v>India</v>
      </c>
      <c r="E135" s="14">
        <f>VLOOKUP(A135,Data!$A$1:$N$201,11,0)</f>
        <v>7</v>
      </c>
      <c r="F135" s="14">
        <f>VLOOKUP(A135,Data!A129:N329,14,0)</f>
        <v>6820.45</v>
      </c>
      <c r="G135" s="14">
        <f>VLOOKUP(A135,Data!$A$1:$O$201,15,0)</f>
        <v>2930.3628571428571</v>
      </c>
    </row>
    <row r="136" spans="1:7" x14ac:dyDescent="0.3">
      <c r="A136" s="14" t="s">
        <v>177</v>
      </c>
      <c r="B136" s="14">
        <f>VLOOKUP(A136,Data!$A$1:$N$201,10,0)</f>
        <v>38236.85</v>
      </c>
      <c r="C136" s="14" t="str">
        <f>VLOOKUP(A136,Data!$A$1:$N$201,5,0)</f>
        <v>East</v>
      </c>
      <c r="D136" s="14" t="str">
        <f>VLOOKUP(A136,Data!$A$1:$N$201,6,0)</f>
        <v>Germany</v>
      </c>
      <c r="E136" s="14">
        <f>VLOOKUP(A136,Data!$A$1:$N$201,11,0)</f>
        <v>7</v>
      </c>
      <c r="F136" s="14">
        <f>VLOOKUP(A136,Data!A130:N330,14,0)</f>
        <v>12323.05</v>
      </c>
      <c r="G136" s="14">
        <f>VLOOKUP(A136,Data!$A$1:$O$201,15,0)</f>
        <v>5462.4071428571424</v>
      </c>
    </row>
    <row r="137" spans="1:7" x14ac:dyDescent="0.3">
      <c r="A137" s="14" t="s">
        <v>178</v>
      </c>
      <c r="B137" s="14">
        <f>VLOOKUP(A137,Data!$A$1:$N$201,10,0)</f>
        <v>11223.16</v>
      </c>
      <c r="C137" s="14" t="str">
        <f>VLOOKUP(A137,Data!$A$1:$N$201,5,0)</f>
        <v>Central</v>
      </c>
      <c r="D137" s="14" t="str">
        <f>VLOOKUP(A137,Data!$A$1:$N$201,6,0)</f>
        <v>Australia</v>
      </c>
      <c r="E137" s="14">
        <f>VLOOKUP(A137,Data!$A$1:$N$201,11,0)</f>
        <v>7</v>
      </c>
      <c r="F137" s="14">
        <f>VLOOKUP(A137,Data!A131:N331,14,0)</f>
        <v>1772.36</v>
      </c>
      <c r="G137" s="14">
        <f>VLOOKUP(A137,Data!$A$1:$O$201,15,0)</f>
        <v>1603.3085714285714</v>
      </c>
    </row>
    <row r="138" spans="1:7" x14ac:dyDescent="0.3">
      <c r="A138" s="14" t="s">
        <v>179</v>
      </c>
      <c r="B138" s="14">
        <f>VLOOKUP(A138,Data!$A$1:$N$201,10,0)</f>
        <v>31800.6</v>
      </c>
      <c r="C138" s="14" t="str">
        <f>VLOOKUP(A138,Data!$A$1:$N$201,5,0)</f>
        <v>East</v>
      </c>
      <c r="D138" s="14" t="str">
        <f>VLOOKUP(A138,Data!$A$1:$N$201,6,0)</f>
        <v>Germany</v>
      </c>
      <c r="E138" s="14">
        <f>VLOOKUP(A138,Data!$A$1:$N$201,11,0)</f>
        <v>7</v>
      </c>
      <c r="F138" s="14">
        <f>VLOOKUP(A138,Data!A132:N332,14,0)</f>
        <v>6864.24</v>
      </c>
      <c r="G138" s="14">
        <f>VLOOKUP(A138,Data!$A$1:$O$201,15,0)</f>
        <v>4542.9428571428571</v>
      </c>
    </row>
    <row r="139" spans="1:7" x14ac:dyDescent="0.3">
      <c r="A139" s="14" t="s">
        <v>180</v>
      </c>
      <c r="B139" s="14">
        <f>VLOOKUP(A139,Data!$A$1:$N$201,10,0)</f>
        <v>7227.08</v>
      </c>
      <c r="C139" s="14" t="str">
        <f>VLOOKUP(A139,Data!$A$1:$N$201,5,0)</f>
        <v>North</v>
      </c>
      <c r="D139" s="14" t="str">
        <f>VLOOKUP(A139,Data!$A$1:$N$201,6,0)</f>
        <v>India</v>
      </c>
      <c r="E139" s="14">
        <f>VLOOKUP(A139,Data!$A$1:$N$201,11,0)</f>
        <v>1</v>
      </c>
      <c r="F139" s="14">
        <f>VLOOKUP(A139,Data!A133:N333,14,0)</f>
        <v>2889.3</v>
      </c>
      <c r="G139" s="14">
        <f>VLOOKUP(A139,Data!$A$1:$O$201,15,0)</f>
        <v>7227.08</v>
      </c>
    </row>
    <row r="140" spans="1:7" x14ac:dyDescent="0.3">
      <c r="A140" s="14" t="s">
        <v>181</v>
      </c>
      <c r="B140" s="14">
        <f>VLOOKUP(A140,Data!$A$1:$N$201,10,0)</f>
        <v>35527.4</v>
      </c>
      <c r="C140" s="14" t="str">
        <f>VLOOKUP(A140,Data!$A$1:$N$201,5,0)</f>
        <v>East</v>
      </c>
      <c r="D140" s="14" t="str">
        <f>VLOOKUP(A140,Data!$A$1:$N$201,6,0)</f>
        <v>UK</v>
      </c>
      <c r="E140" s="14">
        <f>VLOOKUP(A140,Data!$A$1:$N$201,11,0)</f>
        <v>7</v>
      </c>
      <c r="F140" s="14">
        <f>VLOOKUP(A140,Data!A134:N334,14,0)</f>
        <v>10255.549999999999</v>
      </c>
      <c r="G140" s="14">
        <f>VLOOKUP(A140,Data!$A$1:$O$201,15,0)</f>
        <v>5075.3428571428576</v>
      </c>
    </row>
    <row r="141" spans="1:7" x14ac:dyDescent="0.3">
      <c r="A141" s="14" t="s">
        <v>182</v>
      </c>
      <c r="B141" s="14">
        <f>VLOOKUP(A141,Data!$A$1:$N$201,10,0)</f>
        <v>20895.22</v>
      </c>
      <c r="C141" s="14" t="str">
        <f>VLOOKUP(A141,Data!$A$1:$N$201,5,0)</f>
        <v>Central</v>
      </c>
      <c r="D141" s="14" t="str">
        <f>VLOOKUP(A141,Data!$A$1:$N$201,6,0)</f>
        <v>USA</v>
      </c>
      <c r="E141" s="14">
        <f>VLOOKUP(A141,Data!$A$1:$N$201,11,0)</f>
        <v>1</v>
      </c>
      <c r="F141" s="14">
        <f>VLOOKUP(A141,Data!A135:N335,14,0)</f>
        <v>5009.1899999999996</v>
      </c>
      <c r="G141" s="14">
        <f>VLOOKUP(A141,Data!$A$1:$O$201,15,0)</f>
        <v>20895.22</v>
      </c>
    </row>
    <row r="142" spans="1:7" x14ac:dyDescent="0.3">
      <c r="A142" s="14" t="s">
        <v>183</v>
      </c>
      <c r="B142" s="14">
        <f>VLOOKUP(A142,Data!$A$1:$N$201,10,0)</f>
        <v>5731.68</v>
      </c>
      <c r="C142" s="14" t="str">
        <f>VLOOKUP(A142,Data!$A$1:$N$201,5,0)</f>
        <v>South</v>
      </c>
      <c r="D142" s="14" t="str">
        <f>VLOOKUP(A142,Data!$A$1:$N$201,6,0)</f>
        <v>Germany</v>
      </c>
      <c r="E142" s="14">
        <f>VLOOKUP(A142,Data!$A$1:$N$201,11,0)</f>
        <v>7</v>
      </c>
      <c r="F142" s="14">
        <f>VLOOKUP(A142,Data!A136:N336,14,0)</f>
        <v>1041.08</v>
      </c>
      <c r="G142" s="14">
        <f>VLOOKUP(A142,Data!$A$1:$O$201,15,0)</f>
        <v>818.81142857142856</v>
      </c>
    </row>
    <row r="143" spans="1:7" x14ac:dyDescent="0.3">
      <c r="A143" s="14" t="s">
        <v>184</v>
      </c>
      <c r="B143" s="14">
        <f>VLOOKUP(A143,Data!$A$1:$N$201,10,0)</f>
        <v>31481.71</v>
      </c>
      <c r="C143" s="14" t="str">
        <f>VLOOKUP(A143,Data!$A$1:$N$201,5,0)</f>
        <v>North</v>
      </c>
      <c r="D143" s="14" t="str">
        <f>VLOOKUP(A143,Data!$A$1:$N$201,6,0)</f>
        <v>UK</v>
      </c>
      <c r="E143" s="14">
        <f>VLOOKUP(A143,Data!$A$1:$N$201,11,0)</f>
        <v>6</v>
      </c>
      <c r="F143" s="14">
        <f>VLOOKUP(A143,Data!A137:N337,14,0)</f>
        <v>5147.7</v>
      </c>
      <c r="G143" s="14">
        <f>VLOOKUP(A143,Data!$A$1:$O$201,15,0)</f>
        <v>5246.9516666666668</v>
      </c>
    </row>
    <row r="144" spans="1:7" x14ac:dyDescent="0.3">
      <c r="A144" s="14" t="s">
        <v>185</v>
      </c>
      <c r="B144" s="14">
        <f>VLOOKUP(A144,Data!$A$1:$N$201,10,0)</f>
        <v>35593.4</v>
      </c>
      <c r="C144" s="14" t="str">
        <f>VLOOKUP(A144,Data!$A$1:$N$201,5,0)</f>
        <v>East</v>
      </c>
      <c r="D144" s="14" t="str">
        <f>VLOOKUP(A144,Data!$A$1:$N$201,6,0)</f>
        <v>Germany</v>
      </c>
      <c r="E144" s="14">
        <f>VLOOKUP(A144,Data!$A$1:$N$201,11,0)</f>
        <v>7</v>
      </c>
      <c r="F144" s="14">
        <f>VLOOKUP(A144,Data!A138:N338,14,0)</f>
        <v>6574.17</v>
      </c>
      <c r="G144" s="14">
        <f>VLOOKUP(A144,Data!$A$1:$O$201,15,0)</f>
        <v>5084.7714285714292</v>
      </c>
    </row>
    <row r="145" spans="1:7" x14ac:dyDescent="0.3">
      <c r="A145" s="14" t="s">
        <v>186</v>
      </c>
      <c r="B145" s="14">
        <f>VLOOKUP(A145,Data!$A$1:$N$201,10,0)</f>
        <v>6486.4</v>
      </c>
      <c r="C145" s="14" t="str">
        <f>VLOOKUP(A145,Data!$A$1:$N$201,5,0)</f>
        <v>North</v>
      </c>
      <c r="D145" s="14" t="str">
        <f>VLOOKUP(A145,Data!$A$1:$N$201,6,0)</f>
        <v>USA</v>
      </c>
      <c r="E145" s="14">
        <f>VLOOKUP(A145,Data!$A$1:$N$201,11,0)</f>
        <v>11</v>
      </c>
      <c r="F145" s="14">
        <f>VLOOKUP(A145,Data!A139:N339,14,0)</f>
        <v>1455.38</v>
      </c>
      <c r="G145" s="14">
        <f>VLOOKUP(A145,Data!$A$1:$O$201,15,0)</f>
        <v>589.67272727272723</v>
      </c>
    </row>
    <row r="146" spans="1:7" x14ac:dyDescent="0.3">
      <c r="A146" s="14" t="s">
        <v>187</v>
      </c>
      <c r="B146" s="14">
        <f>VLOOKUP(A146,Data!$A$1:$N$201,10,0)</f>
        <v>5402.7</v>
      </c>
      <c r="C146" s="14" t="str">
        <f>VLOOKUP(A146,Data!$A$1:$N$201,5,0)</f>
        <v>East</v>
      </c>
      <c r="D146" s="14" t="str">
        <f>VLOOKUP(A146,Data!$A$1:$N$201,6,0)</f>
        <v>UK</v>
      </c>
      <c r="E146" s="14">
        <f>VLOOKUP(A146,Data!$A$1:$N$201,11,0)</f>
        <v>11</v>
      </c>
      <c r="F146" s="14">
        <f>VLOOKUP(A146,Data!A140:N340,14,0)</f>
        <v>959.49</v>
      </c>
      <c r="G146" s="14">
        <f>VLOOKUP(A146,Data!$A$1:$O$201,15,0)</f>
        <v>491.15454545454543</v>
      </c>
    </row>
    <row r="147" spans="1:7" x14ac:dyDescent="0.3">
      <c r="A147" s="14" t="s">
        <v>188</v>
      </c>
      <c r="B147" s="14">
        <f>VLOOKUP(A147,Data!$A$1:$N$201,10,0)</f>
        <v>10654.43</v>
      </c>
      <c r="C147" s="14" t="str">
        <f>VLOOKUP(A147,Data!$A$1:$N$201,5,0)</f>
        <v>East</v>
      </c>
      <c r="D147" s="14" t="str">
        <f>VLOOKUP(A147,Data!$A$1:$N$201,6,0)</f>
        <v>Australia</v>
      </c>
      <c r="E147" s="14">
        <f>VLOOKUP(A147,Data!$A$1:$N$201,11,0)</f>
        <v>4</v>
      </c>
      <c r="F147" s="14">
        <f>VLOOKUP(A147,Data!A141:N341,14,0)</f>
        <v>3158.79</v>
      </c>
      <c r="G147" s="14">
        <f>VLOOKUP(A147,Data!$A$1:$O$201,15,0)</f>
        <v>2663.6075000000001</v>
      </c>
    </row>
    <row r="148" spans="1:7" x14ac:dyDescent="0.3">
      <c r="A148" s="14" t="s">
        <v>189</v>
      </c>
      <c r="B148" s="14">
        <f>VLOOKUP(A148,Data!$A$1:$N$201,10,0)</f>
        <v>20985.98</v>
      </c>
      <c r="C148" s="14" t="str">
        <f>VLOOKUP(A148,Data!$A$1:$N$201,5,0)</f>
        <v>Central</v>
      </c>
      <c r="D148" s="14" t="str">
        <f>VLOOKUP(A148,Data!$A$1:$N$201,6,0)</f>
        <v>Australia</v>
      </c>
      <c r="E148" s="14">
        <f>VLOOKUP(A148,Data!$A$1:$N$201,11,0)</f>
        <v>2</v>
      </c>
      <c r="F148" s="14">
        <f>VLOOKUP(A148,Data!A142:N342,14,0)</f>
        <v>8704.67</v>
      </c>
      <c r="G148" s="14">
        <f>VLOOKUP(A148,Data!$A$1:$O$201,15,0)</f>
        <v>10492.99</v>
      </c>
    </row>
    <row r="149" spans="1:7" x14ac:dyDescent="0.3">
      <c r="A149" s="14" t="s">
        <v>190</v>
      </c>
      <c r="B149" s="14">
        <f>VLOOKUP(A149,Data!$A$1:$N$201,10,0)</f>
        <v>38044.33</v>
      </c>
      <c r="C149" s="14" t="str">
        <f>VLOOKUP(A149,Data!$A$1:$N$201,5,0)</f>
        <v>West</v>
      </c>
      <c r="D149" s="14" t="str">
        <f>VLOOKUP(A149,Data!$A$1:$N$201,6,0)</f>
        <v>UK</v>
      </c>
      <c r="E149" s="14">
        <f>VLOOKUP(A149,Data!$A$1:$N$201,11,0)</f>
        <v>5</v>
      </c>
      <c r="F149" s="14">
        <f>VLOOKUP(A149,Data!A143:N343,14,0)</f>
        <v>12478.31</v>
      </c>
      <c r="G149" s="14">
        <f>VLOOKUP(A149,Data!$A$1:$O$201,15,0)</f>
        <v>7608.866</v>
      </c>
    </row>
    <row r="150" spans="1:7" x14ac:dyDescent="0.3">
      <c r="A150" s="14" t="s">
        <v>191</v>
      </c>
      <c r="B150" s="14">
        <f>VLOOKUP(A150,Data!$A$1:$N$201,10,0)</f>
        <v>34535.49</v>
      </c>
      <c r="C150" s="14" t="str">
        <f>VLOOKUP(A150,Data!$A$1:$N$201,5,0)</f>
        <v>South</v>
      </c>
      <c r="D150" s="14" t="str">
        <f>VLOOKUP(A150,Data!$A$1:$N$201,6,0)</f>
        <v>USA</v>
      </c>
      <c r="E150" s="14">
        <f>VLOOKUP(A150,Data!$A$1:$N$201,11,0)</f>
        <v>6</v>
      </c>
      <c r="F150" s="14">
        <f>VLOOKUP(A150,Data!A144:N344,14,0)</f>
        <v>5331.34</v>
      </c>
      <c r="G150" s="14">
        <f>VLOOKUP(A150,Data!$A$1:$O$201,15,0)</f>
        <v>5755.915</v>
      </c>
    </row>
    <row r="151" spans="1:7" x14ac:dyDescent="0.3">
      <c r="A151" s="14" t="s">
        <v>192</v>
      </c>
      <c r="B151" s="14">
        <f>VLOOKUP(A151,Data!$A$1:$N$201,10,0)</f>
        <v>13525.34</v>
      </c>
      <c r="C151" s="14" t="str">
        <f>VLOOKUP(A151,Data!$A$1:$N$201,5,0)</f>
        <v>Central</v>
      </c>
      <c r="D151" s="14" t="str">
        <f>VLOOKUP(A151,Data!$A$1:$N$201,6,0)</f>
        <v>USA</v>
      </c>
      <c r="E151" s="14">
        <f>VLOOKUP(A151,Data!$A$1:$N$201,11,0)</f>
        <v>10</v>
      </c>
      <c r="F151" s="14">
        <f>VLOOKUP(A151,Data!A145:N345,14,0)</f>
        <v>5313.8</v>
      </c>
      <c r="G151" s="14">
        <f>VLOOKUP(A151,Data!$A$1:$O$201,15,0)</f>
        <v>1352.5340000000001</v>
      </c>
    </row>
    <row r="152" spans="1:7" x14ac:dyDescent="0.3">
      <c r="A152" s="14" t="s">
        <v>193</v>
      </c>
      <c r="B152" s="14">
        <f>VLOOKUP(A152,Data!$A$1:$N$201,10,0)</f>
        <v>2260.59</v>
      </c>
      <c r="C152" s="14" t="str">
        <f>VLOOKUP(A152,Data!$A$1:$N$201,5,0)</f>
        <v>Central</v>
      </c>
      <c r="D152" s="14" t="str">
        <f>VLOOKUP(A152,Data!$A$1:$N$201,6,0)</f>
        <v>Australia</v>
      </c>
      <c r="E152" s="14">
        <f>VLOOKUP(A152,Data!$A$1:$N$201,11,0)</f>
        <v>5</v>
      </c>
      <c r="F152" s="14">
        <f>VLOOKUP(A152,Data!A146:N346,14,0)</f>
        <v>438.47</v>
      </c>
      <c r="G152" s="14">
        <f>VLOOKUP(A152,Data!$A$1:$O$201,15,0)</f>
        <v>452.11800000000005</v>
      </c>
    </row>
    <row r="153" spans="1:7" x14ac:dyDescent="0.3">
      <c r="A153" s="14" t="s">
        <v>194</v>
      </c>
      <c r="B153" s="14">
        <f>VLOOKUP(A153,Data!$A$1:$N$201,10,0)</f>
        <v>24151.75</v>
      </c>
      <c r="C153" s="14" t="str">
        <f>VLOOKUP(A153,Data!$A$1:$N$201,5,0)</f>
        <v>South</v>
      </c>
      <c r="D153" s="14" t="str">
        <f>VLOOKUP(A153,Data!$A$1:$N$201,6,0)</f>
        <v>USA</v>
      </c>
      <c r="E153" s="14">
        <f>VLOOKUP(A153,Data!$A$1:$N$201,11,0)</f>
        <v>3</v>
      </c>
      <c r="F153" s="14">
        <f>VLOOKUP(A153,Data!A147:N347,14,0)</f>
        <v>7341.49</v>
      </c>
      <c r="G153" s="14">
        <f>VLOOKUP(A153,Data!$A$1:$O$201,15,0)</f>
        <v>8050.583333333333</v>
      </c>
    </row>
    <row r="154" spans="1:7" x14ac:dyDescent="0.3">
      <c r="A154" s="14" t="s">
        <v>195</v>
      </c>
      <c r="B154" s="14">
        <f>VLOOKUP(A154,Data!$A$1:$N$201,10,0)</f>
        <v>23330.67</v>
      </c>
      <c r="C154" s="14" t="str">
        <f>VLOOKUP(A154,Data!$A$1:$N$201,5,0)</f>
        <v>South</v>
      </c>
      <c r="D154" s="14" t="str">
        <f>VLOOKUP(A154,Data!$A$1:$N$201,6,0)</f>
        <v>UK</v>
      </c>
      <c r="E154" s="14">
        <f>VLOOKUP(A154,Data!$A$1:$N$201,11,0)</f>
        <v>9</v>
      </c>
      <c r="F154" s="14">
        <f>VLOOKUP(A154,Data!A148:N348,14,0)</f>
        <v>9793.08</v>
      </c>
      <c r="G154" s="14">
        <f>VLOOKUP(A154,Data!$A$1:$O$201,15,0)</f>
        <v>2592.2966666666666</v>
      </c>
    </row>
    <row r="155" spans="1:7" x14ac:dyDescent="0.3">
      <c r="A155" s="14" t="s">
        <v>196</v>
      </c>
      <c r="B155" s="14">
        <f>VLOOKUP(A155,Data!$A$1:$N$201,10,0)</f>
        <v>10268.280000000001</v>
      </c>
      <c r="C155" s="14" t="str">
        <f>VLOOKUP(A155,Data!$A$1:$N$201,5,0)</f>
        <v>South</v>
      </c>
      <c r="D155" s="14" t="str">
        <f>VLOOKUP(A155,Data!$A$1:$N$201,6,0)</f>
        <v>USA</v>
      </c>
      <c r="E155" s="14">
        <f>VLOOKUP(A155,Data!$A$1:$N$201,11,0)</f>
        <v>11</v>
      </c>
      <c r="F155" s="14">
        <f>VLOOKUP(A155,Data!A149:N349,14,0)</f>
        <v>1730.16</v>
      </c>
      <c r="G155" s="14">
        <f>VLOOKUP(A155,Data!$A$1:$O$201,15,0)</f>
        <v>933.48</v>
      </c>
    </row>
    <row r="156" spans="1:7" x14ac:dyDescent="0.3">
      <c r="A156" s="14" t="s">
        <v>197</v>
      </c>
      <c r="B156" s="14">
        <f>VLOOKUP(A156,Data!$A$1:$N$201,10,0)</f>
        <v>24459.58</v>
      </c>
      <c r="C156" s="14" t="str">
        <f>VLOOKUP(A156,Data!$A$1:$N$201,5,0)</f>
        <v>Central</v>
      </c>
      <c r="D156" s="14" t="str">
        <f>VLOOKUP(A156,Data!$A$1:$N$201,6,0)</f>
        <v>USA</v>
      </c>
      <c r="E156" s="14">
        <f>VLOOKUP(A156,Data!$A$1:$N$201,11,0)</f>
        <v>10</v>
      </c>
      <c r="F156" s="14">
        <f>VLOOKUP(A156,Data!A150:N350,14,0)</f>
        <v>10568.18</v>
      </c>
      <c r="G156" s="14">
        <f>VLOOKUP(A156,Data!$A$1:$O$201,15,0)</f>
        <v>2445.9580000000001</v>
      </c>
    </row>
    <row r="157" spans="1:7" x14ac:dyDescent="0.3">
      <c r="A157" s="14" t="s">
        <v>198</v>
      </c>
      <c r="B157" s="14">
        <f>VLOOKUP(A157,Data!$A$1:$N$201,10,0)</f>
        <v>39278.5</v>
      </c>
      <c r="C157" s="14" t="str">
        <f>VLOOKUP(A157,Data!$A$1:$N$201,5,0)</f>
        <v>North</v>
      </c>
      <c r="D157" s="14" t="str">
        <f>VLOOKUP(A157,Data!$A$1:$N$201,6,0)</f>
        <v>UK</v>
      </c>
      <c r="E157" s="14">
        <f>VLOOKUP(A157,Data!$A$1:$N$201,11,0)</f>
        <v>10</v>
      </c>
      <c r="F157" s="14">
        <f>VLOOKUP(A157,Data!A151:N351,14,0)</f>
        <v>8270.2800000000007</v>
      </c>
      <c r="G157" s="14">
        <f>VLOOKUP(A157,Data!$A$1:$O$201,15,0)</f>
        <v>3927.85</v>
      </c>
    </row>
    <row r="158" spans="1:7" x14ac:dyDescent="0.3">
      <c r="A158" s="14" t="s">
        <v>199</v>
      </c>
      <c r="B158" s="14">
        <f>VLOOKUP(A158,Data!$A$1:$N$201,10,0)</f>
        <v>6459.97</v>
      </c>
      <c r="C158" s="14" t="str">
        <f>VLOOKUP(A158,Data!$A$1:$N$201,5,0)</f>
        <v>Central</v>
      </c>
      <c r="D158" s="14" t="str">
        <f>VLOOKUP(A158,Data!$A$1:$N$201,6,0)</f>
        <v>India</v>
      </c>
      <c r="E158" s="14">
        <f>VLOOKUP(A158,Data!$A$1:$N$201,11,0)</f>
        <v>1</v>
      </c>
      <c r="F158" s="14">
        <f>VLOOKUP(A158,Data!A152:N352,14,0)</f>
        <v>979.45</v>
      </c>
      <c r="G158" s="14">
        <f>VLOOKUP(A158,Data!$A$1:$O$201,15,0)</f>
        <v>6459.97</v>
      </c>
    </row>
    <row r="159" spans="1:7" x14ac:dyDescent="0.3">
      <c r="A159" s="14" t="s">
        <v>200</v>
      </c>
      <c r="B159" s="14">
        <f>VLOOKUP(A159,Data!$A$1:$N$201,10,0)</f>
        <v>13140.25</v>
      </c>
      <c r="C159" s="14" t="str">
        <f>VLOOKUP(A159,Data!$A$1:$N$201,5,0)</f>
        <v>East</v>
      </c>
      <c r="D159" s="14" t="str">
        <f>VLOOKUP(A159,Data!$A$1:$N$201,6,0)</f>
        <v>India</v>
      </c>
      <c r="E159" s="14">
        <f>VLOOKUP(A159,Data!$A$1:$N$201,11,0)</f>
        <v>10</v>
      </c>
      <c r="F159" s="14">
        <f>VLOOKUP(A159,Data!A153:N353,14,0)</f>
        <v>4533.13</v>
      </c>
      <c r="G159" s="14">
        <f>VLOOKUP(A159,Data!$A$1:$O$201,15,0)</f>
        <v>1314.0250000000001</v>
      </c>
    </row>
    <row r="160" spans="1:7" x14ac:dyDescent="0.3">
      <c r="A160" s="14" t="s">
        <v>201</v>
      </c>
      <c r="B160" s="14">
        <f>VLOOKUP(A160,Data!$A$1:$N$201,10,0)</f>
        <v>34039</v>
      </c>
      <c r="C160" s="14" t="str">
        <f>VLOOKUP(A160,Data!$A$1:$N$201,5,0)</f>
        <v>Central</v>
      </c>
      <c r="D160" s="14" t="str">
        <f>VLOOKUP(A160,Data!$A$1:$N$201,6,0)</f>
        <v>Germany</v>
      </c>
      <c r="E160" s="14">
        <f>VLOOKUP(A160,Data!$A$1:$N$201,11,0)</f>
        <v>4</v>
      </c>
      <c r="F160" s="14">
        <f>VLOOKUP(A160,Data!A154:N354,14,0)</f>
        <v>11570.84</v>
      </c>
      <c r="G160" s="14">
        <f>VLOOKUP(A160,Data!$A$1:$O$201,15,0)</f>
        <v>8509.75</v>
      </c>
    </row>
    <row r="161" spans="1:7" x14ac:dyDescent="0.3">
      <c r="A161" s="14" t="s">
        <v>202</v>
      </c>
      <c r="B161" s="14">
        <f>VLOOKUP(A161,Data!$A$1:$N$201,10,0)</f>
        <v>7039.66</v>
      </c>
      <c r="C161" s="14" t="str">
        <f>VLOOKUP(A161,Data!$A$1:$N$201,5,0)</f>
        <v>West</v>
      </c>
      <c r="D161" s="14" t="str">
        <f>VLOOKUP(A161,Data!$A$1:$N$201,6,0)</f>
        <v>UK</v>
      </c>
      <c r="E161" s="14">
        <f>VLOOKUP(A161,Data!$A$1:$N$201,11,0)</f>
        <v>2</v>
      </c>
      <c r="F161" s="14">
        <f>VLOOKUP(A161,Data!A155:N355,14,0)</f>
        <v>2527.9699999999998</v>
      </c>
      <c r="G161" s="14">
        <f>VLOOKUP(A161,Data!$A$1:$O$201,15,0)</f>
        <v>3519.83</v>
      </c>
    </row>
    <row r="162" spans="1:7" x14ac:dyDescent="0.3">
      <c r="A162" s="14" t="s">
        <v>203</v>
      </c>
      <c r="B162" s="14">
        <f>VLOOKUP(A162,Data!$A$1:$N$201,10,0)</f>
        <v>5847.74</v>
      </c>
      <c r="C162" s="14" t="str">
        <f>VLOOKUP(A162,Data!$A$1:$N$201,5,0)</f>
        <v>West</v>
      </c>
      <c r="D162" s="14" t="str">
        <f>VLOOKUP(A162,Data!$A$1:$N$201,6,0)</f>
        <v>USA</v>
      </c>
      <c r="E162" s="14">
        <f>VLOOKUP(A162,Data!$A$1:$N$201,11,0)</f>
        <v>2</v>
      </c>
      <c r="F162" s="14">
        <f>VLOOKUP(A162,Data!A156:N356,14,0)</f>
        <v>2281.92</v>
      </c>
      <c r="G162" s="14">
        <f>VLOOKUP(A162,Data!$A$1:$O$201,15,0)</f>
        <v>2923.87</v>
      </c>
    </row>
    <row r="163" spans="1:7" x14ac:dyDescent="0.3">
      <c r="A163" s="14" t="s">
        <v>204</v>
      </c>
      <c r="B163" s="14">
        <f>VLOOKUP(A163,Data!$A$1:$N$201,10,0)</f>
        <v>7543.26</v>
      </c>
      <c r="C163" s="14" t="str">
        <f>VLOOKUP(A163,Data!$A$1:$N$201,5,0)</f>
        <v>East</v>
      </c>
      <c r="D163" s="14" t="str">
        <f>VLOOKUP(A163,Data!$A$1:$N$201,6,0)</f>
        <v>India</v>
      </c>
      <c r="E163" s="14">
        <f>VLOOKUP(A163,Data!$A$1:$N$201,11,0)</f>
        <v>11</v>
      </c>
      <c r="F163" s="14">
        <f>VLOOKUP(A163,Data!A157:N357,14,0)</f>
        <v>1810.42</v>
      </c>
      <c r="G163" s="14">
        <f>VLOOKUP(A163,Data!$A$1:$O$201,15,0)</f>
        <v>685.75090909090909</v>
      </c>
    </row>
    <row r="164" spans="1:7" x14ac:dyDescent="0.3">
      <c r="A164" s="14" t="s">
        <v>205</v>
      </c>
      <c r="B164" s="14">
        <f>VLOOKUP(A164,Data!$A$1:$N$201,10,0)</f>
        <v>30972.14</v>
      </c>
      <c r="C164" s="14" t="str">
        <f>VLOOKUP(A164,Data!$A$1:$N$201,5,0)</f>
        <v>Central</v>
      </c>
      <c r="D164" s="14" t="str">
        <f>VLOOKUP(A164,Data!$A$1:$N$201,6,0)</f>
        <v>Australia</v>
      </c>
      <c r="E164" s="14">
        <f>VLOOKUP(A164,Data!$A$1:$N$201,11,0)</f>
        <v>6</v>
      </c>
      <c r="F164" s="14">
        <f>VLOOKUP(A164,Data!A158:N358,14,0)</f>
        <v>13822.7</v>
      </c>
      <c r="G164" s="14">
        <f>VLOOKUP(A164,Data!$A$1:$O$201,15,0)</f>
        <v>5162.0233333333335</v>
      </c>
    </row>
    <row r="165" spans="1:7" x14ac:dyDescent="0.3">
      <c r="A165" s="14" t="s">
        <v>206</v>
      </c>
      <c r="B165" s="14">
        <f>VLOOKUP(A165,Data!$A$1:$N$201,10,0)</f>
        <v>5795.26</v>
      </c>
      <c r="C165" s="14" t="str">
        <f>VLOOKUP(A165,Data!$A$1:$N$201,5,0)</f>
        <v>West</v>
      </c>
      <c r="D165" s="14" t="str">
        <f>VLOOKUP(A165,Data!$A$1:$N$201,6,0)</f>
        <v>Germany</v>
      </c>
      <c r="E165" s="14">
        <f>VLOOKUP(A165,Data!$A$1:$N$201,11,0)</f>
        <v>2</v>
      </c>
      <c r="F165" s="14">
        <f>VLOOKUP(A165,Data!A159:N359,14,0)</f>
        <v>2539.36</v>
      </c>
      <c r="G165" s="14">
        <f>VLOOKUP(A165,Data!$A$1:$O$201,15,0)</f>
        <v>2897.63</v>
      </c>
    </row>
    <row r="166" spans="1:7" x14ac:dyDescent="0.3">
      <c r="A166" s="14" t="s">
        <v>207</v>
      </c>
      <c r="B166" s="14">
        <f>VLOOKUP(A166,Data!$A$1:$N$201,10,0)</f>
        <v>4372.08</v>
      </c>
      <c r="C166" s="14" t="str">
        <f>VLOOKUP(A166,Data!$A$1:$N$201,5,0)</f>
        <v>East</v>
      </c>
      <c r="D166" s="14" t="str">
        <f>VLOOKUP(A166,Data!$A$1:$N$201,6,0)</f>
        <v>Australia</v>
      </c>
      <c r="E166" s="14">
        <f>VLOOKUP(A166,Data!$A$1:$N$201,11,0)</f>
        <v>1</v>
      </c>
      <c r="F166" s="14">
        <f>VLOOKUP(A166,Data!A160:N360,14,0)</f>
        <v>1721.74</v>
      </c>
      <c r="G166" s="14">
        <f>VLOOKUP(A166,Data!$A$1:$O$201,15,0)</f>
        <v>4372.08</v>
      </c>
    </row>
    <row r="167" spans="1:7" x14ac:dyDescent="0.3">
      <c r="A167" s="14" t="s">
        <v>208</v>
      </c>
      <c r="B167" s="14">
        <f>VLOOKUP(A167,Data!$A$1:$N$201,10,0)</f>
        <v>25376.720000000001</v>
      </c>
      <c r="C167" s="14" t="str">
        <f>VLOOKUP(A167,Data!$A$1:$N$201,5,0)</f>
        <v>Central</v>
      </c>
      <c r="D167" s="14" t="str">
        <f>VLOOKUP(A167,Data!$A$1:$N$201,6,0)</f>
        <v>Australia</v>
      </c>
      <c r="E167" s="14">
        <f>VLOOKUP(A167,Data!$A$1:$N$201,11,0)</f>
        <v>9</v>
      </c>
      <c r="F167" s="14">
        <f>VLOOKUP(A167,Data!A161:N361,14,0)</f>
        <v>5673.43</v>
      </c>
      <c r="G167" s="14">
        <f>VLOOKUP(A167,Data!$A$1:$O$201,15,0)</f>
        <v>2819.6355555555556</v>
      </c>
    </row>
    <row r="168" spans="1:7" x14ac:dyDescent="0.3">
      <c r="A168" s="14" t="s">
        <v>209</v>
      </c>
      <c r="B168" s="14">
        <f>VLOOKUP(A168,Data!$A$1:$N$201,10,0)</f>
        <v>30859.74</v>
      </c>
      <c r="C168" s="14" t="str">
        <f>VLOOKUP(A168,Data!$A$1:$N$201,5,0)</f>
        <v>South</v>
      </c>
      <c r="D168" s="14" t="str">
        <f>VLOOKUP(A168,Data!$A$1:$N$201,6,0)</f>
        <v>Australia</v>
      </c>
      <c r="E168" s="14">
        <f>VLOOKUP(A168,Data!$A$1:$N$201,11,0)</f>
        <v>4</v>
      </c>
      <c r="F168" s="14">
        <f>VLOOKUP(A168,Data!A162:N362,14,0)</f>
        <v>8042.71</v>
      </c>
      <c r="G168" s="14">
        <f>VLOOKUP(A168,Data!$A$1:$O$201,15,0)</f>
        <v>7714.9350000000004</v>
      </c>
    </row>
    <row r="169" spans="1:7" x14ac:dyDescent="0.3">
      <c r="A169" s="14" t="s">
        <v>210</v>
      </c>
      <c r="B169" s="14">
        <f>VLOOKUP(A169,Data!$A$1:$N$201,10,0)</f>
        <v>30448.78</v>
      </c>
      <c r="C169" s="14" t="str">
        <f>VLOOKUP(A169,Data!$A$1:$N$201,5,0)</f>
        <v>North</v>
      </c>
      <c r="D169" s="14" t="str">
        <f>VLOOKUP(A169,Data!$A$1:$N$201,6,0)</f>
        <v>India</v>
      </c>
      <c r="E169" s="14">
        <f>VLOOKUP(A169,Data!$A$1:$N$201,11,0)</f>
        <v>2</v>
      </c>
      <c r="F169" s="14">
        <f>VLOOKUP(A169,Data!A163:N363,14,0)</f>
        <v>6231.32</v>
      </c>
      <c r="G169" s="14">
        <f>VLOOKUP(A169,Data!$A$1:$O$201,15,0)</f>
        <v>15224.39</v>
      </c>
    </row>
    <row r="170" spans="1:7" x14ac:dyDescent="0.3">
      <c r="A170" s="14" t="s">
        <v>211</v>
      </c>
      <c r="B170" s="14">
        <f>VLOOKUP(A170,Data!$A$1:$N$201,10,0)</f>
        <v>17777.63</v>
      </c>
      <c r="C170" s="14" t="str">
        <f>VLOOKUP(A170,Data!$A$1:$N$201,5,0)</f>
        <v>West</v>
      </c>
      <c r="D170" s="14" t="str">
        <f>VLOOKUP(A170,Data!$A$1:$N$201,6,0)</f>
        <v>UK</v>
      </c>
      <c r="E170" s="14">
        <f>VLOOKUP(A170,Data!$A$1:$N$201,11,0)</f>
        <v>7</v>
      </c>
      <c r="F170" s="14">
        <f>VLOOKUP(A170,Data!A164:N364,14,0)</f>
        <v>3747.39</v>
      </c>
      <c r="G170" s="14">
        <f>VLOOKUP(A170,Data!$A$1:$O$201,15,0)</f>
        <v>2539.6614285714286</v>
      </c>
    </row>
    <row r="171" spans="1:7" x14ac:dyDescent="0.3">
      <c r="A171" s="14" t="s">
        <v>212</v>
      </c>
      <c r="B171" s="14">
        <f>VLOOKUP(A171,Data!$A$1:$N$201,10,0)</f>
        <v>36730.730000000003</v>
      </c>
      <c r="C171" s="14" t="str">
        <f>VLOOKUP(A171,Data!$A$1:$N$201,5,0)</f>
        <v>East</v>
      </c>
      <c r="D171" s="14" t="str">
        <f>VLOOKUP(A171,Data!$A$1:$N$201,6,0)</f>
        <v>USA</v>
      </c>
      <c r="E171" s="14">
        <f>VLOOKUP(A171,Data!$A$1:$N$201,11,0)</f>
        <v>11</v>
      </c>
      <c r="F171" s="14">
        <f>VLOOKUP(A171,Data!A165:N365,14,0)</f>
        <v>16060.54</v>
      </c>
      <c r="G171" s="14">
        <f>VLOOKUP(A171,Data!$A$1:$O$201,15,0)</f>
        <v>3339.1572727272728</v>
      </c>
    </row>
    <row r="172" spans="1:7" x14ac:dyDescent="0.3">
      <c r="A172" s="14" t="s">
        <v>213</v>
      </c>
      <c r="B172" s="14">
        <f>VLOOKUP(A172,Data!$A$1:$N$201,10,0)</f>
        <v>6714.31</v>
      </c>
      <c r="C172" s="14" t="str">
        <f>VLOOKUP(A172,Data!$A$1:$N$201,5,0)</f>
        <v>East</v>
      </c>
      <c r="D172" s="14" t="str">
        <f>VLOOKUP(A172,Data!$A$1:$N$201,6,0)</f>
        <v>Germany</v>
      </c>
      <c r="E172" s="14">
        <f>VLOOKUP(A172,Data!$A$1:$N$201,11,0)</f>
        <v>3</v>
      </c>
      <c r="F172" s="14">
        <f>VLOOKUP(A172,Data!A166:N366,14,0)</f>
        <v>1143.5999999999999</v>
      </c>
      <c r="G172" s="14">
        <f>VLOOKUP(A172,Data!$A$1:$O$201,15,0)</f>
        <v>2238.1033333333335</v>
      </c>
    </row>
    <row r="173" spans="1:7" x14ac:dyDescent="0.3">
      <c r="A173" s="14" t="s">
        <v>214</v>
      </c>
      <c r="B173" s="14">
        <f>VLOOKUP(A173,Data!$A$1:$N$201,10,0)</f>
        <v>18107.64</v>
      </c>
      <c r="C173" s="14" t="str">
        <f>VLOOKUP(A173,Data!$A$1:$N$201,5,0)</f>
        <v>North</v>
      </c>
      <c r="D173" s="14" t="str">
        <f>VLOOKUP(A173,Data!$A$1:$N$201,6,0)</f>
        <v>Australia</v>
      </c>
      <c r="E173" s="14">
        <f>VLOOKUP(A173,Data!$A$1:$N$201,11,0)</f>
        <v>10</v>
      </c>
      <c r="F173" s="14">
        <f>VLOOKUP(A173,Data!A167:N367,14,0)</f>
        <v>3952.79</v>
      </c>
      <c r="G173" s="14">
        <f>VLOOKUP(A173,Data!$A$1:$O$201,15,0)</f>
        <v>1810.7639999999999</v>
      </c>
    </row>
    <row r="174" spans="1:7" x14ac:dyDescent="0.3">
      <c r="A174" s="14" t="s">
        <v>215</v>
      </c>
      <c r="B174" s="14">
        <f>VLOOKUP(A174,Data!$A$1:$N$201,10,0)</f>
        <v>15276.06</v>
      </c>
      <c r="C174" s="14" t="str">
        <f>VLOOKUP(A174,Data!$A$1:$N$201,5,0)</f>
        <v>South</v>
      </c>
      <c r="D174" s="14" t="str">
        <f>VLOOKUP(A174,Data!$A$1:$N$201,6,0)</f>
        <v>UK</v>
      </c>
      <c r="E174" s="14">
        <f>VLOOKUP(A174,Data!$A$1:$N$201,11,0)</f>
        <v>11</v>
      </c>
      <c r="F174" s="14">
        <f>VLOOKUP(A174,Data!A168:N368,14,0)</f>
        <v>2465.66</v>
      </c>
      <c r="G174" s="14">
        <f>VLOOKUP(A174,Data!$A$1:$O$201,15,0)</f>
        <v>1388.7327272727273</v>
      </c>
    </row>
    <row r="175" spans="1:7" x14ac:dyDescent="0.3">
      <c r="A175" s="14" t="s">
        <v>216</v>
      </c>
      <c r="B175" s="14">
        <f>VLOOKUP(A175,Data!$A$1:$N$201,10,0)</f>
        <v>22210.49</v>
      </c>
      <c r="C175" s="14" t="str">
        <f>VLOOKUP(A175,Data!$A$1:$N$201,5,0)</f>
        <v>West</v>
      </c>
      <c r="D175" s="14" t="str">
        <f>VLOOKUP(A175,Data!$A$1:$N$201,6,0)</f>
        <v>India</v>
      </c>
      <c r="E175" s="14">
        <f>VLOOKUP(A175,Data!$A$1:$N$201,11,0)</f>
        <v>9</v>
      </c>
      <c r="F175" s="14">
        <f>VLOOKUP(A175,Data!A169:N369,14,0)</f>
        <v>9136.58</v>
      </c>
      <c r="G175" s="14">
        <f>VLOOKUP(A175,Data!$A$1:$O$201,15,0)</f>
        <v>2467.8322222222223</v>
      </c>
    </row>
    <row r="176" spans="1:7" x14ac:dyDescent="0.3">
      <c r="A176" s="14" t="s">
        <v>217</v>
      </c>
      <c r="B176" s="14">
        <f>VLOOKUP(A176,Data!$A$1:$N$201,10,0)</f>
        <v>8375.8799999999992</v>
      </c>
      <c r="C176" s="14" t="str">
        <f>VLOOKUP(A176,Data!$A$1:$N$201,5,0)</f>
        <v>East</v>
      </c>
      <c r="D176" s="14" t="str">
        <f>VLOOKUP(A176,Data!$A$1:$N$201,6,0)</f>
        <v>Germany</v>
      </c>
      <c r="E176" s="14">
        <f>VLOOKUP(A176,Data!$A$1:$N$201,11,0)</f>
        <v>6</v>
      </c>
      <c r="F176" s="14">
        <f>VLOOKUP(A176,Data!A170:N370,14,0)</f>
        <v>2462.21</v>
      </c>
      <c r="G176" s="14">
        <f>VLOOKUP(A176,Data!$A$1:$O$201,15,0)</f>
        <v>1395.9799999999998</v>
      </c>
    </row>
    <row r="177" spans="1:7" x14ac:dyDescent="0.3">
      <c r="A177" s="14" t="s">
        <v>218</v>
      </c>
      <c r="B177" s="14">
        <f>VLOOKUP(A177,Data!$A$1:$N$201,10,0)</f>
        <v>6567.22</v>
      </c>
      <c r="C177" s="14" t="str">
        <f>VLOOKUP(A177,Data!$A$1:$N$201,5,0)</f>
        <v>East</v>
      </c>
      <c r="D177" s="14" t="str">
        <f>VLOOKUP(A177,Data!$A$1:$N$201,6,0)</f>
        <v>India</v>
      </c>
      <c r="E177" s="14">
        <f>VLOOKUP(A177,Data!$A$1:$N$201,11,0)</f>
        <v>3</v>
      </c>
      <c r="F177" s="14">
        <f>VLOOKUP(A177,Data!A171:N371,14,0)</f>
        <v>2419.1</v>
      </c>
      <c r="G177" s="14">
        <f>VLOOKUP(A177,Data!$A$1:$O$201,15,0)</f>
        <v>2189.0733333333333</v>
      </c>
    </row>
    <row r="178" spans="1:7" x14ac:dyDescent="0.3">
      <c r="A178" s="14" t="s">
        <v>219</v>
      </c>
      <c r="B178" s="14">
        <f>VLOOKUP(A178,Data!$A$1:$N$201,10,0)</f>
        <v>39347.65</v>
      </c>
      <c r="C178" s="14" t="str">
        <f>VLOOKUP(A178,Data!$A$1:$N$201,5,0)</f>
        <v>East</v>
      </c>
      <c r="D178" s="14" t="str">
        <f>VLOOKUP(A178,Data!$A$1:$N$201,6,0)</f>
        <v>Germany</v>
      </c>
      <c r="E178" s="14">
        <f>VLOOKUP(A178,Data!$A$1:$N$201,11,0)</f>
        <v>3</v>
      </c>
      <c r="F178" s="14">
        <f>VLOOKUP(A178,Data!A172:N372,14,0)</f>
        <v>13172.75</v>
      </c>
      <c r="G178" s="14">
        <f>VLOOKUP(A178,Data!$A$1:$O$201,15,0)</f>
        <v>13115.883333333333</v>
      </c>
    </row>
    <row r="179" spans="1:7" x14ac:dyDescent="0.3">
      <c r="A179" s="14" t="s">
        <v>220</v>
      </c>
      <c r="B179" s="14">
        <f>VLOOKUP(A179,Data!$A$1:$N$201,10,0)</f>
        <v>12643.35</v>
      </c>
      <c r="C179" s="14" t="str">
        <f>VLOOKUP(A179,Data!$A$1:$N$201,5,0)</f>
        <v>Central</v>
      </c>
      <c r="D179" s="14" t="str">
        <f>VLOOKUP(A179,Data!$A$1:$N$201,6,0)</f>
        <v>Germany</v>
      </c>
      <c r="E179" s="14">
        <f>VLOOKUP(A179,Data!$A$1:$N$201,11,0)</f>
        <v>4</v>
      </c>
      <c r="F179" s="14">
        <f>VLOOKUP(A179,Data!A173:N373,14,0)</f>
        <v>2757.21</v>
      </c>
      <c r="G179" s="14">
        <f>VLOOKUP(A179,Data!$A$1:$O$201,15,0)</f>
        <v>3160.8375000000001</v>
      </c>
    </row>
    <row r="180" spans="1:7" x14ac:dyDescent="0.3">
      <c r="A180" s="14" t="s">
        <v>221</v>
      </c>
      <c r="B180" s="14">
        <f>VLOOKUP(A180,Data!$A$1:$N$201,10,0)</f>
        <v>20388.310000000001</v>
      </c>
      <c r="C180" s="14" t="str">
        <f>VLOOKUP(A180,Data!$A$1:$N$201,5,0)</f>
        <v>West</v>
      </c>
      <c r="D180" s="14" t="str">
        <f>VLOOKUP(A180,Data!$A$1:$N$201,6,0)</f>
        <v>India</v>
      </c>
      <c r="E180" s="14">
        <f>VLOOKUP(A180,Data!$A$1:$N$201,11,0)</f>
        <v>5</v>
      </c>
      <c r="F180" s="14">
        <f>VLOOKUP(A180,Data!A174:N374,14,0)</f>
        <v>6542.42</v>
      </c>
      <c r="G180" s="14">
        <f>VLOOKUP(A180,Data!$A$1:$O$201,15,0)</f>
        <v>4077.6620000000003</v>
      </c>
    </row>
    <row r="181" spans="1:7" x14ac:dyDescent="0.3">
      <c r="A181" s="14" t="s">
        <v>222</v>
      </c>
      <c r="B181" s="14">
        <f>VLOOKUP(A181,Data!$A$1:$N$201,10,0)</f>
        <v>36717.72</v>
      </c>
      <c r="C181" s="14" t="str">
        <f>VLOOKUP(A181,Data!$A$1:$N$201,5,0)</f>
        <v>Central</v>
      </c>
      <c r="D181" s="14" t="str">
        <f>VLOOKUP(A181,Data!$A$1:$N$201,6,0)</f>
        <v>India</v>
      </c>
      <c r="E181" s="14">
        <f>VLOOKUP(A181,Data!$A$1:$N$201,11,0)</f>
        <v>9</v>
      </c>
      <c r="F181" s="14">
        <f>VLOOKUP(A181,Data!A175:N375,14,0)</f>
        <v>9676.2999999999993</v>
      </c>
      <c r="G181" s="14">
        <f>VLOOKUP(A181,Data!$A$1:$O$201,15,0)</f>
        <v>4079.7466666666669</v>
      </c>
    </row>
    <row r="182" spans="1:7" x14ac:dyDescent="0.3">
      <c r="A182" s="14" t="s">
        <v>223</v>
      </c>
      <c r="B182" s="14">
        <f>VLOOKUP(A182,Data!$A$1:$N$201,10,0)</f>
        <v>12663.95</v>
      </c>
      <c r="C182" s="14" t="str">
        <f>VLOOKUP(A182,Data!$A$1:$N$201,5,0)</f>
        <v>North</v>
      </c>
      <c r="D182" s="14" t="str">
        <f>VLOOKUP(A182,Data!$A$1:$N$201,6,0)</f>
        <v>India</v>
      </c>
      <c r="E182" s="14">
        <f>VLOOKUP(A182,Data!$A$1:$N$201,11,0)</f>
        <v>8</v>
      </c>
      <c r="F182" s="14">
        <f>VLOOKUP(A182,Data!A176:N376,14,0)</f>
        <v>2622.64</v>
      </c>
      <c r="G182" s="14">
        <f>VLOOKUP(A182,Data!$A$1:$O$201,15,0)</f>
        <v>1582.9937500000001</v>
      </c>
    </row>
    <row r="183" spans="1:7" x14ac:dyDescent="0.3">
      <c r="A183" s="14" t="s">
        <v>224</v>
      </c>
      <c r="B183" s="14">
        <f>VLOOKUP(A183,Data!$A$1:$N$201,10,0)</f>
        <v>15170.56</v>
      </c>
      <c r="C183" s="14" t="str">
        <f>VLOOKUP(A183,Data!$A$1:$N$201,5,0)</f>
        <v>East</v>
      </c>
      <c r="D183" s="14" t="str">
        <f>VLOOKUP(A183,Data!$A$1:$N$201,6,0)</f>
        <v>Australia</v>
      </c>
      <c r="E183" s="14">
        <f>VLOOKUP(A183,Data!$A$1:$N$201,11,0)</f>
        <v>1</v>
      </c>
      <c r="F183" s="14">
        <f>VLOOKUP(A183,Data!A177:N377,14,0)</f>
        <v>4565.6899999999996</v>
      </c>
      <c r="G183" s="14">
        <f>VLOOKUP(A183,Data!$A$1:$O$201,15,0)</f>
        <v>15170.56</v>
      </c>
    </row>
    <row r="184" spans="1:7" x14ac:dyDescent="0.3">
      <c r="A184" s="14" t="s">
        <v>225</v>
      </c>
      <c r="B184" s="14">
        <f>VLOOKUP(A184,Data!$A$1:$N$201,10,0)</f>
        <v>22875.68</v>
      </c>
      <c r="C184" s="14" t="str">
        <f>VLOOKUP(A184,Data!$A$1:$N$201,5,0)</f>
        <v>East</v>
      </c>
      <c r="D184" s="14" t="str">
        <f>VLOOKUP(A184,Data!$A$1:$N$201,6,0)</f>
        <v>UK</v>
      </c>
      <c r="E184" s="14">
        <f>VLOOKUP(A184,Data!$A$1:$N$201,11,0)</f>
        <v>6</v>
      </c>
      <c r="F184" s="14">
        <f>VLOOKUP(A184,Data!A178:N378,14,0)</f>
        <v>9279.2099999999991</v>
      </c>
      <c r="G184" s="14">
        <f>VLOOKUP(A184,Data!$A$1:$O$201,15,0)</f>
        <v>3812.6133333333332</v>
      </c>
    </row>
    <row r="185" spans="1:7" x14ac:dyDescent="0.3">
      <c r="A185" s="14" t="s">
        <v>226</v>
      </c>
      <c r="B185" s="14">
        <f>VLOOKUP(A185,Data!$A$1:$N$201,10,0)</f>
        <v>3468.05</v>
      </c>
      <c r="C185" s="14" t="str">
        <f>VLOOKUP(A185,Data!$A$1:$N$201,5,0)</f>
        <v>North</v>
      </c>
      <c r="D185" s="14" t="str">
        <f>VLOOKUP(A185,Data!$A$1:$N$201,6,0)</f>
        <v>Australia</v>
      </c>
      <c r="E185" s="14">
        <f>VLOOKUP(A185,Data!$A$1:$N$201,11,0)</f>
        <v>7</v>
      </c>
      <c r="F185" s="14">
        <f>VLOOKUP(A185,Data!A179:N379,14,0)</f>
        <v>1411.61</v>
      </c>
      <c r="G185" s="14">
        <f>VLOOKUP(A185,Data!$A$1:$O$201,15,0)</f>
        <v>495.43571428571431</v>
      </c>
    </row>
    <row r="186" spans="1:7" x14ac:dyDescent="0.3">
      <c r="A186" s="14" t="s">
        <v>227</v>
      </c>
      <c r="B186" s="14">
        <f>VLOOKUP(A186,Data!$A$1:$N$201,10,0)</f>
        <v>1716.38</v>
      </c>
      <c r="C186" s="14" t="str">
        <f>VLOOKUP(A186,Data!$A$1:$N$201,5,0)</f>
        <v>East</v>
      </c>
      <c r="D186" s="14" t="str">
        <f>VLOOKUP(A186,Data!$A$1:$N$201,6,0)</f>
        <v>UK</v>
      </c>
      <c r="E186" s="14">
        <f>VLOOKUP(A186,Data!$A$1:$N$201,11,0)</f>
        <v>3</v>
      </c>
      <c r="F186" s="14">
        <f>VLOOKUP(A186,Data!A180:N380,14,0)</f>
        <v>368.13</v>
      </c>
      <c r="G186" s="14">
        <f>VLOOKUP(A186,Data!$A$1:$O$201,15,0)</f>
        <v>572.12666666666667</v>
      </c>
    </row>
    <row r="187" spans="1:7" x14ac:dyDescent="0.3">
      <c r="A187" s="14" t="s">
        <v>228</v>
      </c>
      <c r="B187" s="14">
        <f>VLOOKUP(A187,Data!$A$1:$N$201,10,0)</f>
        <v>25604.14</v>
      </c>
      <c r="C187" s="14" t="str">
        <f>VLOOKUP(A187,Data!$A$1:$N$201,5,0)</f>
        <v>North</v>
      </c>
      <c r="D187" s="14" t="str">
        <f>VLOOKUP(A187,Data!$A$1:$N$201,6,0)</f>
        <v>India</v>
      </c>
      <c r="E187" s="14">
        <f>VLOOKUP(A187,Data!$A$1:$N$201,11,0)</f>
        <v>6</v>
      </c>
      <c r="F187" s="14">
        <f>VLOOKUP(A187,Data!A181:N381,14,0)</f>
        <v>9025.94</v>
      </c>
      <c r="G187" s="14">
        <f>VLOOKUP(A187,Data!$A$1:$O$201,15,0)</f>
        <v>4267.3566666666666</v>
      </c>
    </row>
    <row r="188" spans="1:7" x14ac:dyDescent="0.3">
      <c r="A188" s="14" t="s">
        <v>229</v>
      </c>
      <c r="B188" s="14">
        <f>VLOOKUP(A188,Data!$A$1:$N$201,10,0)</f>
        <v>15338.55</v>
      </c>
      <c r="C188" s="14" t="str">
        <f>VLOOKUP(A188,Data!$A$1:$N$201,5,0)</f>
        <v>East</v>
      </c>
      <c r="D188" s="14" t="str">
        <f>VLOOKUP(A188,Data!$A$1:$N$201,6,0)</f>
        <v>India</v>
      </c>
      <c r="E188" s="14">
        <f>VLOOKUP(A188,Data!$A$1:$N$201,11,0)</f>
        <v>9</v>
      </c>
      <c r="F188" s="14">
        <f>VLOOKUP(A188,Data!A182:N382,14,0)</f>
        <v>4077.95</v>
      </c>
      <c r="G188" s="14">
        <f>VLOOKUP(A188,Data!$A$1:$O$201,15,0)</f>
        <v>1704.2833333333333</v>
      </c>
    </row>
    <row r="189" spans="1:7" x14ac:dyDescent="0.3">
      <c r="A189" s="14" t="s">
        <v>230</v>
      </c>
      <c r="B189" s="14">
        <f>VLOOKUP(A189,Data!$A$1:$N$201,10,0)</f>
        <v>3916.45</v>
      </c>
      <c r="C189" s="14" t="str">
        <f>VLOOKUP(A189,Data!$A$1:$N$201,5,0)</f>
        <v>North</v>
      </c>
      <c r="D189" s="14" t="str">
        <f>VLOOKUP(A189,Data!$A$1:$N$201,6,0)</f>
        <v>Germany</v>
      </c>
      <c r="E189" s="14">
        <f>VLOOKUP(A189,Data!$A$1:$N$201,11,0)</f>
        <v>9</v>
      </c>
      <c r="F189" s="14">
        <f>VLOOKUP(A189,Data!A183:N383,14,0)</f>
        <v>760.86</v>
      </c>
      <c r="G189" s="14">
        <f>VLOOKUP(A189,Data!$A$1:$O$201,15,0)</f>
        <v>435.1611111111111</v>
      </c>
    </row>
    <row r="190" spans="1:7" x14ac:dyDescent="0.3">
      <c r="A190" s="14" t="s">
        <v>231</v>
      </c>
      <c r="B190" s="14">
        <f>VLOOKUP(A190,Data!$A$1:$N$201,10,0)</f>
        <v>12036.2</v>
      </c>
      <c r="C190" s="14" t="str">
        <f>VLOOKUP(A190,Data!$A$1:$N$201,5,0)</f>
        <v>Central</v>
      </c>
      <c r="D190" s="14" t="str">
        <f>VLOOKUP(A190,Data!$A$1:$N$201,6,0)</f>
        <v>Germany</v>
      </c>
      <c r="E190" s="14">
        <f>VLOOKUP(A190,Data!$A$1:$N$201,11,0)</f>
        <v>11</v>
      </c>
      <c r="F190" s="14">
        <f>VLOOKUP(A190,Data!A184:N384,14,0)</f>
        <v>3065.27</v>
      </c>
      <c r="G190" s="14">
        <f>VLOOKUP(A190,Data!$A$1:$O$201,15,0)</f>
        <v>1094.2</v>
      </c>
    </row>
    <row r="191" spans="1:7" x14ac:dyDescent="0.3">
      <c r="A191" s="14" t="s">
        <v>232</v>
      </c>
      <c r="B191" s="14">
        <f>VLOOKUP(A191,Data!$A$1:$N$201,10,0)</f>
        <v>27983.49</v>
      </c>
      <c r="C191" s="14" t="str">
        <f>VLOOKUP(A191,Data!$A$1:$N$201,5,0)</f>
        <v>North</v>
      </c>
      <c r="D191" s="14" t="str">
        <f>VLOOKUP(A191,Data!$A$1:$N$201,6,0)</f>
        <v>UK</v>
      </c>
      <c r="E191" s="14">
        <f>VLOOKUP(A191,Data!$A$1:$N$201,11,0)</f>
        <v>5</v>
      </c>
      <c r="F191" s="14">
        <f>VLOOKUP(A191,Data!A185:N385,14,0)</f>
        <v>6109.67</v>
      </c>
      <c r="G191" s="14">
        <f>VLOOKUP(A191,Data!$A$1:$O$201,15,0)</f>
        <v>5596.6980000000003</v>
      </c>
    </row>
    <row r="192" spans="1:7" x14ac:dyDescent="0.3">
      <c r="A192" s="14" t="s">
        <v>233</v>
      </c>
      <c r="B192" s="14">
        <f>VLOOKUP(A192,Data!$A$1:$N$201,10,0)</f>
        <v>30576.58</v>
      </c>
      <c r="C192" s="14" t="str">
        <f>VLOOKUP(A192,Data!$A$1:$N$201,5,0)</f>
        <v>Central</v>
      </c>
      <c r="D192" s="14" t="str">
        <f>VLOOKUP(A192,Data!$A$1:$N$201,6,0)</f>
        <v>Australia</v>
      </c>
      <c r="E192" s="14">
        <f>VLOOKUP(A192,Data!$A$1:$N$201,11,0)</f>
        <v>11</v>
      </c>
      <c r="F192" s="14">
        <f>VLOOKUP(A192,Data!A186:N386,14,0)</f>
        <v>5766.75</v>
      </c>
      <c r="G192" s="14">
        <f>VLOOKUP(A192,Data!$A$1:$O$201,15,0)</f>
        <v>2779.6890909090912</v>
      </c>
    </row>
    <row r="193" spans="1:7" x14ac:dyDescent="0.3">
      <c r="A193" s="14" t="s">
        <v>234</v>
      </c>
      <c r="B193" s="14">
        <f>VLOOKUP(A193,Data!$A$1:$N$201,10,0)</f>
        <v>20611.53</v>
      </c>
      <c r="C193" s="14" t="str">
        <f>VLOOKUP(A193,Data!$A$1:$N$201,5,0)</f>
        <v>South</v>
      </c>
      <c r="D193" s="14" t="str">
        <f>VLOOKUP(A193,Data!$A$1:$N$201,6,0)</f>
        <v>Germany</v>
      </c>
      <c r="E193" s="14">
        <f>VLOOKUP(A193,Data!$A$1:$N$201,11,0)</f>
        <v>4</v>
      </c>
      <c r="F193" s="14">
        <f>VLOOKUP(A193,Data!A187:N387,14,0)</f>
        <v>7005.04</v>
      </c>
      <c r="G193" s="14">
        <f>VLOOKUP(A193,Data!$A$1:$O$201,15,0)</f>
        <v>5152.8824999999997</v>
      </c>
    </row>
    <row r="194" spans="1:7" x14ac:dyDescent="0.3">
      <c r="A194" s="14" t="s">
        <v>235</v>
      </c>
      <c r="B194" s="14">
        <f>VLOOKUP(A194,Data!$A$1:$N$201,10,0)</f>
        <v>9453.9500000000007</v>
      </c>
      <c r="C194" s="14" t="str">
        <f>VLOOKUP(A194,Data!$A$1:$N$201,5,0)</f>
        <v>Central</v>
      </c>
      <c r="D194" s="14" t="str">
        <f>VLOOKUP(A194,Data!$A$1:$N$201,6,0)</f>
        <v>Australia</v>
      </c>
      <c r="E194" s="14">
        <f>VLOOKUP(A194,Data!$A$1:$N$201,11,0)</f>
        <v>4</v>
      </c>
      <c r="F194" s="14">
        <f>VLOOKUP(A194,Data!A188:N388,14,0)</f>
        <v>4010.25</v>
      </c>
      <c r="G194" s="14">
        <f>VLOOKUP(A194,Data!$A$1:$O$201,15,0)</f>
        <v>2363.4875000000002</v>
      </c>
    </row>
    <row r="195" spans="1:7" x14ac:dyDescent="0.3">
      <c r="A195" s="14" t="s">
        <v>236</v>
      </c>
      <c r="B195" s="14">
        <f>VLOOKUP(A195,Data!$A$1:$N$201,10,0)</f>
        <v>33708.239999999998</v>
      </c>
      <c r="C195" s="14" t="str">
        <f>VLOOKUP(A195,Data!$A$1:$N$201,5,0)</f>
        <v>Central</v>
      </c>
      <c r="D195" s="14" t="str">
        <f>VLOOKUP(A195,Data!$A$1:$N$201,6,0)</f>
        <v>India</v>
      </c>
      <c r="E195" s="14">
        <f>VLOOKUP(A195,Data!$A$1:$N$201,11,0)</f>
        <v>11</v>
      </c>
      <c r="F195" s="14">
        <f>VLOOKUP(A195,Data!A189:N389,14,0)</f>
        <v>13429.09</v>
      </c>
      <c r="G195" s="14">
        <f>VLOOKUP(A195,Data!$A$1:$O$201,15,0)</f>
        <v>3064.3854545454542</v>
      </c>
    </row>
    <row r="196" spans="1:7" x14ac:dyDescent="0.3">
      <c r="A196" s="14" t="s">
        <v>237</v>
      </c>
      <c r="B196" s="14">
        <f>VLOOKUP(A196,Data!$A$1:$N$201,10,0)</f>
        <v>8941.57</v>
      </c>
      <c r="C196" s="14" t="str">
        <f>VLOOKUP(A196,Data!$A$1:$N$201,5,0)</f>
        <v>South</v>
      </c>
      <c r="D196" s="14" t="str">
        <f>VLOOKUP(A196,Data!$A$1:$N$201,6,0)</f>
        <v>UK</v>
      </c>
      <c r="E196" s="14">
        <f>VLOOKUP(A196,Data!$A$1:$N$201,11,0)</f>
        <v>6</v>
      </c>
      <c r="F196" s="14">
        <f>VLOOKUP(A196,Data!A190:N390,14,0)</f>
        <v>2569.52</v>
      </c>
      <c r="G196" s="14">
        <f>VLOOKUP(A196,Data!$A$1:$O$201,15,0)</f>
        <v>1490.2616666666665</v>
      </c>
    </row>
    <row r="197" spans="1:7" x14ac:dyDescent="0.3">
      <c r="A197" s="14" t="s">
        <v>238</v>
      </c>
      <c r="B197" s="14">
        <f>VLOOKUP(A197,Data!$A$1:$N$201,10,0)</f>
        <v>30471.09</v>
      </c>
      <c r="C197" s="14" t="str">
        <f>VLOOKUP(A197,Data!$A$1:$N$201,5,0)</f>
        <v>North</v>
      </c>
      <c r="D197" s="14" t="str">
        <f>VLOOKUP(A197,Data!$A$1:$N$201,6,0)</f>
        <v>Germany</v>
      </c>
      <c r="E197" s="14">
        <f>VLOOKUP(A197,Data!$A$1:$N$201,11,0)</f>
        <v>2</v>
      </c>
      <c r="F197" s="14">
        <f>VLOOKUP(A197,Data!A191:N391,14,0)</f>
        <v>9282.7800000000007</v>
      </c>
      <c r="G197" s="14">
        <f>VLOOKUP(A197,Data!$A$1:$O$201,15,0)</f>
        <v>15235.545</v>
      </c>
    </row>
    <row r="198" spans="1:7" x14ac:dyDescent="0.3">
      <c r="A198" s="14" t="s">
        <v>239</v>
      </c>
      <c r="B198" s="14">
        <f>VLOOKUP(A198,Data!$A$1:$N$201,10,0)</f>
        <v>6806.38</v>
      </c>
      <c r="C198" s="14" t="str">
        <f>VLOOKUP(A198,Data!$A$1:$N$201,5,0)</f>
        <v>South</v>
      </c>
      <c r="D198" s="14" t="str">
        <f>VLOOKUP(A198,Data!$A$1:$N$201,6,0)</f>
        <v>India</v>
      </c>
      <c r="E198" s="14">
        <f>VLOOKUP(A198,Data!$A$1:$N$201,11,0)</f>
        <v>2</v>
      </c>
      <c r="F198" s="14">
        <f>VLOOKUP(A198,Data!A192:N392,14,0)</f>
        <v>1818.65</v>
      </c>
      <c r="G198" s="14">
        <f>VLOOKUP(A198,Data!$A$1:$O$201,15,0)</f>
        <v>3403.19</v>
      </c>
    </row>
    <row r="199" spans="1:7" x14ac:dyDescent="0.3">
      <c r="A199" s="14" t="s">
        <v>240</v>
      </c>
      <c r="B199" s="14">
        <f>VLOOKUP(A199,Data!$A$1:$N$201,10,0)</f>
        <v>37446.239999999998</v>
      </c>
      <c r="C199" s="14" t="str">
        <f>VLOOKUP(A199,Data!$A$1:$N$201,5,0)</f>
        <v>North</v>
      </c>
      <c r="D199" s="14" t="str">
        <f>VLOOKUP(A199,Data!$A$1:$N$201,6,0)</f>
        <v>USA</v>
      </c>
      <c r="E199" s="14">
        <f>VLOOKUP(A199,Data!$A$1:$N$201,11,0)</f>
        <v>5</v>
      </c>
      <c r="F199" s="14">
        <f>VLOOKUP(A199,Data!A193:N393,14,0)</f>
        <v>8817.8799999999992</v>
      </c>
      <c r="G199" s="14">
        <f>VLOOKUP(A199,Data!$A$1:$O$201,15,0)</f>
        <v>7489.2479999999996</v>
      </c>
    </row>
    <row r="200" spans="1:7" x14ac:dyDescent="0.3">
      <c r="A200" s="14" t="s">
        <v>241</v>
      </c>
      <c r="B200" s="14">
        <f>VLOOKUP(A200,Data!$A$1:$N$201,10,0)</f>
        <v>31116.13</v>
      </c>
      <c r="C200" s="14" t="str">
        <f>VLOOKUP(A200,Data!$A$1:$N$201,5,0)</f>
        <v>East</v>
      </c>
      <c r="D200" s="14" t="str">
        <f>VLOOKUP(A200,Data!$A$1:$N$201,6,0)</f>
        <v>Germany</v>
      </c>
      <c r="E200" s="14">
        <f>VLOOKUP(A200,Data!$A$1:$N$201,11,0)</f>
        <v>1</v>
      </c>
      <c r="F200" s="14">
        <f>VLOOKUP(A200,Data!A194:N394,14,0)</f>
        <v>7092.75</v>
      </c>
      <c r="G200" s="14">
        <f>VLOOKUP(A200,Data!$A$1:$O$201,15,0)</f>
        <v>31116.13</v>
      </c>
    </row>
    <row r="201" spans="1:7" x14ac:dyDescent="0.3">
      <c r="A201" s="14" t="s">
        <v>242</v>
      </c>
      <c r="B201" s="14">
        <f>VLOOKUP(A201,Data!$A$1:$N$201,10,0)</f>
        <v>20448.599999999999</v>
      </c>
      <c r="C201" s="14" t="str">
        <f>VLOOKUP(A201,Data!$A$1:$N$201,5,0)</f>
        <v>East</v>
      </c>
      <c r="D201" s="14" t="str">
        <f>VLOOKUP(A201,Data!$A$1:$N$201,6,0)</f>
        <v>India</v>
      </c>
      <c r="E201" s="14">
        <f>VLOOKUP(A201,Data!$A$1:$N$201,11,0)</f>
        <v>7</v>
      </c>
      <c r="F201" s="14">
        <f>VLOOKUP(A201,Data!A195:N395,14,0)</f>
        <v>8741.48</v>
      </c>
      <c r="G201" s="14">
        <f>VLOOKUP(A201,Data!$A$1:$O$201,15,0)</f>
        <v>2921.2285714285713</v>
      </c>
    </row>
    <row r="202" spans="1:7" x14ac:dyDescent="0.3">
      <c r="A202" s="14" t="s">
        <v>243</v>
      </c>
      <c r="B202" s="14">
        <f>VLOOKUP(A202,Data!$A$1:$N$201,10,0)</f>
        <v>17819.509999999998</v>
      </c>
      <c r="C202" s="14" t="str">
        <f>VLOOKUP(A202,Data!$A$1:$N$201,5,0)</f>
        <v>North</v>
      </c>
      <c r="D202" s="14" t="str">
        <f>VLOOKUP(A202,Data!$A$1:$N$201,6,0)</f>
        <v>USA</v>
      </c>
      <c r="E202" s="14">
        <f>VLOOKUP(A202,Data!$A$1:$N$201,11,0)</f>
        <v>10</v>
      </c>
      <c r="F202" s="14">
        <f>VLOOKUP(A202,Data!A196:N396,14,0)</f>
        <v>5954.2</v>
      </c>
      <c r="G202" s="14">
        <f>VLOOKUP(A202,Data!$A$1:$O$201,15,0)</f>
        <v>1781.9509999999998</v>
      </c>
    </row>
    <row r="203" spans="1:7" x14ac:dyDescent="0.3">
      <c r="A203" s="14" t="s">
        <v>244</v>
      </c>
      <c r="B203" s="14">
        <f>VLOOKUP(A203,Data!$A$1:$N$201,10,0)</f>
        <v>23260.65</v>
      </c>
      <c r="C203" s="14" t="str">
        <f>VLOOKUP(A203,Data!$A$1:$N$201,5,0)</f>
        <v>East</v>
      </c>
      <c r="D203" s="14" t="str">
        <f>VLOOKUP(A203,Data!$A$1:$N$201,6,0)</f>
        <v>UK</v>
      </c>
      <c r="E203" s="14">
        <f>VLOOKUP(A203,Data!$A$1:$N$201,11,0)</f>
        <v>7</v>
      </c>
      <c r="F203" s="14">
        <f>VLOOKUP(A203,Data!A197:N397,14,0)</f>
        <v>10351.66</v>
      </c>
      <c r="G203" s="14">
        <f>VLOOKUP(A203,Data!$A$1:$O$201,15,0)</f>
        <v>3322.9500000000003</v>
      </c>
    </row>
    <row r="204" spans="1:7" x14ac:dyDescent="0.3">
      <c r="A204" s="14" t="s">
        <v>245</v>
      </c>
      <c r="B204" s="14">
        <f>VLOOKUP(A204,Data!$A$1:$N$201,10,0)</f>
        <v>26715.68</v>
      </c>
      <c r="C204" s="14" t="str">
        <f>VLOOKUP(A204,Data!$A$1:$N$201,5,0)</f>
        <v>Central</v>
      </c>
      <c r="D204" s="14" t="str">
        <f>VLOOKUP(A204,Data!$A$1:$N$201,6,0)</f>
        <v>UK</v>
      </c>
      <c r="E204" s="14">
        <f>VLOOKUP(A204,Data!$A$1:$N$201,11,0)</f>
        <v>2</v>
      </c>
      <c r="F204" s="14">
        <f>VLOOKUP(A204,Data!A198:N398,14,0)</f>
        <v>7018.67</v>
      </c>
      <c r="G204" s="14">
        <f>VLOOKUP(A204,Data!$A$1:$O$201,15,0)</f>
        <v>13357.84</v>
      </c>
    </row>
    <row r="205" spans="1:7" x14ac:dyDescent="0.3">
      <c r="A205" s="14" t="s">
        <v>246</v>
      </c>
      <c r="B205" s="14">
        <f>VLOOKUP(A205,Data!$A$1:$N$201,10,0)</f>
        <v>22669</v>
      </c>
      <c r="C205" s="14" t="str">
        <f>VLOOKUP(A205,Data!$A$1:$N$201,5,0)</f>
        <v>Central</v>
      </c>
      <c r="D205" s="14" t="str">
        <f>VLOOKUP(A205,Data!$A$1:$N$201,6,0)</f>
        <v>Germany</v>
      </c>
      <c r="E205" s="14">
        <f>VLOOKUP(A205,Data!$A$1:$N$201,11,0)</f>
        <v>3</v>
      </c>
      <c r="F205" s="14">
        <f>VLOOKUP(A205,Data!A199:N399,14,0)</f>
        <v>4549.34</v>
      </c>
      <c r="G205" s="14">
        <f>VLOOKUP(A205,Data!$A$1:$O$201,15,0)</f>
        <v>7556.333333333333</v>
      </c>
    </row>
    <row r="206" spans="1:7" x14ac:dyDescent="0.3">
      <c r="A206" s="14" t="s">
        <v>247</v>
      </c>
      <c r="B206" s="14">
        <f>VLOOKUP(A206,Data!$A$1:$N$201,10,0)</f>
        <v>28076.03</v>
      </c>
      <c r="C206" s="14" t="str">
        <f>VLOOKUP(A206,Data!$A$1:$N$201,5,0)</f>
        <v>South</v>
      </c>
      <c r="D206" s="14" t="str">
        <f>VLOOKUP(A206,Data!$A$1:$N$201,6,0)</f>
        <v>Australia</v>
      </c>
      <c r="E206" s="14">
        <f>VLOOKUP(A206,Data!$A$1:$N$201,11,0)</f>
        <v>2</v>
      </c>
      <c r="F206" s="14">
        <f>VLOOKUP(A206,Data!A200:N400,14,0)</f>
        <v>11707.53</v>
      </c>
      <c r="G206" s="14">
        <f>VLOOKUP(A206,Data!$A$1:$O$201,15,0)</f>
        <v>14038.014999999999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625BD-4CF0-4D41-A6FC-4C35B5AF572A}">
  <dimension ref="A3:GS23"/>
  <sheetViews>
    <sheetView topLeftCell="A2" workbookViewId="0">
      <selection activeCell="I24" sqref="I24"/>
    </sheetView>
  </sheetViews>
  <sheetFormatPr defaultRowHeight="14.4" x14ac:dyDescent="0.3"/>
  <cols>
    <col min="1" max="1" width="17.21875" bestFit="1" customWidth="1"/>
    <col min="2" max="201" width="15.44140625" bestFit="1" customWidth="1"/>
  </cols>
  <sheetData>
    <row r="3" spans="1:201" x14ac:dyDescent="0.3">
      <c r="A3" s="45" t="s">
        <v>275</v>
      </c>
      <c r="B3" s="45"/>
      <c r="C3" s="45"/>
      <c r="D3" s="45"/>
      <c r="E3" s="45"/>
    </row>
    <row r="5" spans="1:201" x14ac:dyDescent="0.3">
      <c r="A5" s="15" t="s">
        <v>0</v>
      </c>
      <c r="B5" s="16" t="s">
        <v>14</v>
      </c>
      <c r="C5" s="16" t="s">
        <v>21</v>
      </c>
      <c r="D5" s="16" t="s">
        <v>26</v>
      </c>
      <c r="E5" s="16" t="s">
        <v>31</v>
      </c>
      <c r="F5" s="16" t="s">
        <v>33</v>
      </c>
      <c r="G5" s="16" t="s">
        <v>36</v>
      </c>
      <c r="H5" s="16" t="s">
        <v>40</v>
      </c>
      <c r="I5" s="16" t="s">
        <v>44</v>
      </c>
      <c r="J5" s="16" t="s">
        <v>45</v>
      </c>
      <c r="K5" s="16" t="s">
        <v>46</v>
      </c>
      <c r="L5" s="16" t="s">
        <v>48</v>
      </c>
      <c r="M5" s="16" t="s">
        <v>50</v>
      </c>
      <c r="N5" s="16" t="s">
        <v>53</v>
      </c>
      <c r="O5" s="16" t="s">
        <v>55</v>
      </c>
      <c r="P5" s="16" t="s">
        <v>57</v>
      </c>
      <c r="Q5" s="16" t="s">
        <v>59</v>
      </c>
      <c r="R5" s="16" t="s">
        <v>60</v>
      </c>
      <c r="S5" s="16" t="s">
        <v>61</v>
      </c>
      <c r="T5" s="16" t="s">
        <v>63</v>
      </c>
      <c r="U5" s="16" t="s">
        <v>65</v>
      </c>
      <c r="V5" s="16" t="s">
        <v>66</v>
      </c>
      <c r="W5" s="16" t="s">
        <v>68</v>
      </c>
      <c r="X5" s="16" t="s">
        <v>69</v>
      </c>
      <c r="Y5" s="16" t="s">
        <v>70</v>
      </c>
      <c r="Z5" s="16" t="s">
        <v>71</v>
      </c>
      <c r="AA5" s="16" t="s">
        <v>72</v>
      </c>
      <c r="AB5" s="16" t="s">
        <v>73</v>
      </c>
      <c r="AC5" s="16" t="s">
        <v>74</v>
      </c>
      <c r="AD5" s="16" t="s">
        <v>75</v>
      </c>
      <c r="AE5" s="16" t="s">
        <v>76</v>
      </c>
      <c r="AF5" s="16" t="s">
        <v>77</v>
      </c>
      <c r="AG5" s="16" t="s">
        <v>78</v>
      </c>
      <c r="AH5" s="16" t="s">
        <v>79</v>
      </c>
      <c r="AI5" s="16" t="s">
        <v>80</v>
      </c>
      <c r="AJ5" s="16" t="s">
        <v>81</v>
      </c>
      <c r="AK5" s="16" t="s">
        <v>82</v>
      </c>
      <c r="AL5" s="16" t="s">
        <v>84</v>
      </c>
      <c r="AM5" s="16" t="s">
        <v>85</v>
      </c>
      <c r="AN5" s="16" t="s">
        <v>86</v>
      </c>
      <c r="AO5" s="16" t="s">
        <v>87</v>
      </c>
      <c r="AP5" s="16" t="s">
        <v>88</v>
      </c>
      <c r="AQ5" s="16" t="s">
        <v>89</v>
      </c>
      <c r="AR5" s="16" t="s">
        <v>90</v>
      </c>
      <c r="AS5" s="16" t="s">
        <v>91</v>
      </c>
      <c r="AT5" s="16" t="s">
        <v>92</v>
      </c>
      <c r="AU5" s="16" t="s">
        <v>93</v>
      </c>
      <c r="AV5" s="16" t="s">
        <v>94</v>
      </c>
      <c r="AW5" s="16" t="s">
        <v>95</v>
      </c>
      <c r="AX5" s="16" t="s">
        <v>96</v>
      </c>
      <c r="AY5" s="16" t="s">
        <v>97</v>
      </c>
      <c r="AZ5" s="16" t="s">
        <v>98</v>
      </c>
      <c r="BA5" s="16" t="s">
        <v>99</v>
      </c>
      <c r="BB5" s="16" t="s">
        <v>100</v>
      </c>
      <c r="BC5" s="16" t="s">
        <v>101</v>
      </c>
      <c r="BD5" s="16" t="s">
        <v>102</v>
      </c>
      <c r="BE5" s="16" t="s">
        <v>103</v>
      </c>
      <c r="BF5" s="16" t="s">
        <v>104</v>
      </c>
      <c r="BG5" s="16" t="s">
        <v>105</v>
      </c>
      <c r="BH5" s="16" t="s">
        <v>106</v>
      </c>
      <c r="BI5" s="16" t="s">
        <v>107</v>
      </c>
      <c r="BJ5" s="16" t="s">
        <v>108</v>
      </c>
      <c r="BK5" s="16" t="s">
        <v>109</v>
      </c>
      <c r="BL5" s="16" t="s">
        <v>110</v>
      </c>
      <c r="BM5" s="16" t="s">
        <v>111</v>
      </c>
      <c r="BN5" s="16" t="s">
        <v>112</v>
      </c>
      <c r="BO5" s="16" t="s">
        <v>113</v>
      </c>
      <c r="BP5" s="16" t="s">
        <v>114</v>
      </c>
      <c r="BQ5" s="16" t="s">
        <v>115</v>
      </c>
      <c r="BR5" s="16" t="s">
        <v>116</v>
      </c>
      <c r="BS5" s="16" t="s">
        <v>117</v>
      </c>
      <c r="BT5" s="16" t="s">
        <v>118</v>
      </c>
      <c r="BU5" s="16" t="s">
        <v>119</v>
      </c>
      <c r="BV5" s="16" t="s">
        <v>120</v>
      </c>
      <c r="BW5" s="16" t="s">
        <v>121</v>
      </c>
      <c r="BX5" s="16" t="s">
        <v>122</v>
      </c>
      <c r="BY5" s="16" t="s">
        <v>123</v>
      </c>
      <c r="BZ5" s="16" t="s">
        <v>124</v>
      </c>
      <c r="CA5" s="16" t="s">
        <v>125</v>
      </c>
      <c r="CB5" s="16" t="s">
        <v>126</v>
      </c>
      <c r="CC5" s="16" t="s">
        <v>127</v>
      </c>
      <c r="CD5" s="16" t="s">
        <v>128</v>
      </c>
      <c r="CE5" s="16" t="s">
        <v>129</v>
      </c>
      <c r="CF5" s="16" t="s">
        <v>130</v>
      </c>
      <c r="CG5" s="16" t="s">
        <v>131</v>
      </c>
      <c r="CH5" s="16" t="s">
        <v>132</v>
      </c>
      <c r="CI5" s="16" t="s">
        <v>133</v>
      </c>
      <c r="CJ5" s="16" t="s">
        <v>134</v>
      </c>
      <c r="CK5" s="16" t="s">
        <v>135</v>
      </c>
      <c r="CL5" s="16" t="s">
        <v>136</v>
      </c>
      <c r="CM5" s="16" t="s">
        <v>137</v>
      </c>
      <c r="CN5" s="16" t="s">
        <v>138</v>
      </c>
      <c r="CO5" s="16" t="s">
        <v>139</v>
      </c>
      <c r="CP5" s="16" t="s">
        <v>140</v>
      </c>
      <c r="CQ5" s="16" t="s">
        <v>141</v>
      </c>
      <c r="CR5" s="16" t="s">
        <v>142</v>
      </c>
      <c r="CS5" s="16" t="s">
        <v>143</v>
      </c>
      <c r="CT5" s="16" t="s">
        <v>144</v>
      </c>
      <c r="CU5" s="16" t="s">
        <v>145</v>
      </c>
      <c r="CV5" s="16" t="s">
        <v>146</v>
      </c>
      <c r="CW5" s="16" t="s">
        <v>147</v>
      </c>
      <c r="CX5" s="16" t="s">
        <v>148</v>
      </c>
      <c r="CY5" s="16" t="s">
        <v>149</v>
      </c>
      <c r="CZ5" s="16" t="s">
        <v>150</v>
      </c>
      <c r="DA5" s="16" t="s">
        <v>151</v>
      </c>
      <c r="DB5" s="16" t="s">
        <v>152</v>
      </c>
      <c r="DC5" s="16" t="s">
        <v>153</v>
      </c>
      <c r="DD5" s="16" t="s">
        <v>154</v>
      </c>
      <c r="DE5" s="16" t="s">
        <v>155</v>
      </c>
      <c r="DF5" s="16" t="s">
        <v>156</v>
      </c>
      <c r="DG5" s="16" t="s">
        <v>157</v>
      </c>
      <c r="DH5" s="16" t="s">
        <v>158</v>
      </c>
      <c r="DI5" s="16" t="s">
        <v>159</v>
      </c>
      <c r="DJ5" s="16" t="s">
        <v>160</v>
      </c>
      <c r="DK5" s="16" t="s">
        <v>161</v>
      </c>
      <c r="DL5" s="16" t="s">
        <v>162</v>
      </c>
      <c r="DM5" s="16" t="s">
        <v>163</v>
      </c>
      <c r="DN5" s="16" t="s">
        <v>164</v>
      </c>
      <c r="DO5" s="16" t="s">
        <v>165</v>
      </c>
      <c r="DP5" s="16" t="s">
        <v>166</v>
      </c>
      <c r="DQ5" s="16" t="s">
        <v>167</v>
      </c>
      <c r="DR5" s="16" t="s">
        <v>168</v>
      </c>
      <c r="DS5" s="16" t="s">
        <v>169</v>
      </c>
      <c r="DT5" s="16" t="s">
        <v>170</v>
      </c>
      <c r="DU5" s="16" t="s">
        <v>171</v>
      </c>
      <c r="DV5" s="16" t="s">
        <v>172</v>
      </c>
      <c r="DW5" s="16" t="s">
        <v>173</v>
      </c>
      <c r="DX5" s="16" t="s">
        <v>174</v>
      </c>
      <c r="DY5" s="16" t="s">
        <v>175</v>
      </c>
      <c r="DZ5" s="16" t="s">
        <v>176</v>
      </c>
      <c r="EA5" s="16" t="s">
        <v>177</v>
      </c>
      <c r="EB5" s="16" t="s">
        <v>178</v>
      </c>
      <c r="EC5" s="16" t="s">
        <v>179</v>
      </c>
      <c r="ED5" s="16" t="s">
        <v>180</v>
      </c>
      <c r="EE5" s="16" t="s">
        <v>181</v>
      </c>
      <c r="EF5" s="16" t="s">
        <v>182</v>
      </c>
      <c r="EG5" s="16" t="s">
        <v>183</v>
      </c>
      <c r="EH5" s="16" t="s">
        <v>184</v>
      </c>
      <c r="EI5" s="16" t="s">
        <v>185</v>
      </c>
      <c r="EJ5" s="16" t="s">
        <v>186</v>
      </c>
      <c r="EK5" s="16" t="s">
        <v>187</v>
      </c>
      <c r="EL5" s="16" t="s">
        <v>188</v>
      </c>
      <c r="EM5" s="16" t="s">
        <v>189</v>
      </c>
      <c r="EN5" s="16" t="s">
        <v>190</v>
      </c>
      <c r="EO5" s="16" t="s">
        <v>191</v>
      </c>
      <c r="EP5" s="16" t="s">
        <v>192</v>
      </c>
      <c r="EQ5" s="16" t="s">
        <v>193</v>
      </c>
      <c r="ER5" s="16" t="s">
        <v>194</v>
      </c>
      <c r="ES5" s="16" t="s">
        <v>195</v>
      </c>
      <c r="ET5" s="16" t="s">
        <v>196</v>
      </c>
      <c r="EU5" s="16" t="s">
        <v>197</v>
      </c>
      <c r="EV5" s="16" t="s">
        <v>198</v>
      </c>
      <c r="EW5" s="16" t="s">
        <v>199</v>
      </c>
      <c r="EX5" s="16" t="s">
        <v>200</v>
      </c>
      <c r="EY5" s="16" t="s">
        <v>201</v>
      </c>
      <c r="EZ5" s="16" t="s">
        <v>202</v>
      </c>
      <c r="FA5" s="16" t="s">
        <v>203</v>
      </c>
      <c r="FB5" s="16" t="s">
        <v>204</v>
      </c>
      <c r="FC5" s="16" t="s">
        <v>205</v>
      </c>
      <c r="FD5" s="16" t="s">
        <v>206</v>
      </c>
      <c r="FE5" s="16" t="s">
        <v>207</v>
      </c>
      <c r="FF5" s="16" t="s">
        <v>208</v>
      </c>
      <c r="FG5" s="16" t="s">
        <v>209</v>
      </c>
      <c r="FH5" s="16" t="s">
        <v>210</v>
      </c>
      <c r="FI5" s="16" t="s">
        <v>211</v>
      </c>
      <c r="FJ5" s="16" t="s">
        <v>212</v>
      </c>
      <c r="FK5" s="16" t="s">
        <v>213</v>
      </c>
      <c r="FL5" s="16" t="s">
        <v>214</v>
      </c>
      <c r="FM5" s="16" t="s">
        <v>215</v>
      </c>
      <c r="FN5" s="16" t="s">
        <v>216</v>
      </c>
      <c r="FO5" s="16" t="s">
        <v>217</v>
      </c>
      <c r="FP5" s="16" t="s">
        <v>218</v>
      </c>
      <c r="FQ5" s="16" t="s">
        <v>219</v>
      </c>
      <c r="FR5" s="16" t="s">
        <v>220</v>
      </c>
      <c r="FS5" s="16" t="s">
        <v>221</v>
      </c>
      <c r="FT5" s="16" t="s">
        <v>222</v>
      </c>
      <c r="FU5" s="16" t="s">
        <v>223</v>
      </c>
      <c r="FV5" s="16" t="s">
        <v>224</v>
      </c>
      <c r="FW5" s="16" t="s">
        <v>225</v>
      </c>
      <c r="FX5" s="16" t="s">
        <v>226</v>
      </c>
      <c r="FY5" s="16" t="s">
        <v>227</v>
      </c>
      <c r="FZ5" s="16" t="s">
        <v>228</v>
      </c>
      <c r="GA5" s="16" t="s">
        <v>229</v>
      </c>
      <c r="GB5" s="16" t="s">
        <v>230</v>
      </c>
      <c r="GC5" s="16" t="s">
        <v>231</v>
      </c>
      <c r="GD5" s="16" t="s">
        <v>232</v>
      </c>
      <c r="GE5" s="16" t="s">
        <v>233</v>
      </c>
      <c r="GF5" s="16" t="s">
        <v>234</v>
      </c>
      <c r="GG5" s="16" t="s">
        <v>235</v>
      </c>
      <c r="GH5" s="16" t="s">
        <v>236</v>
      </c>
      <c r="GI5" s="16" t="s">
        <v>237</v>
      </c>
      <c r="GJ5" s="16" t="s">
        <v>238</v>
      </c>
      <c r="GK5" s="16" t="s">
        <v>239</v>
      </c>
      <c r="GL5" s="16" t="s">
        <v>240</v>
      </c>
      <c r="GM5" s="16" t="s">
        <v>241</v>
      </c>
      <c r="GN5" s="16" t="s">
        <v>242</v>
      </c>
      <c r="GO5" s="16" t="s">
        <v>243</v>
      </c>
      <c r="GP5" s="16" t="s">
        <v>244</v>
      </c>
      <c r="GQ5" s="16" t="s">
        <v>245</v>
      </c>
      <c r="GR5" s="16" t="s">
        <v>246</v>
      </c>
      <c r="GS5" s="16" t="s">
        <v>247</v>
      </c>
    </row>
    <row r="6" spans="1:201" x14ac:dyDescent="0.3">
      <c r="A6" s="15" t="s">
        <v>1</v>
      </c>
      <c r="B6" s="17">
        <v>45467</v>
      </c>
      <c r="C6" s="17">
        <v>45488</v>
      </c>
      <c r="D6" s="17">
        <v>45317</v>
      </c>
      <c r="E6" s="17">
        <v>45359</v>
      </c>
      <c r="F6" s="17">
        <v>45503</v>
      </c>
      <c r="G6" s="17">
        <v>45395</v>
      </c>
      <c r="H6" s="17">
        <v>45640</v>
      </c>
      <c r="I6" s="17">
        <v>45477</v>
      </c>
      <c r="J6" s="17">
        <v>45315</v>
      </c>
      <c r="K6" s="17">
        <v>45364</v>
      </c>
      <c r="L6" s="17">
        <v>45637</v>
      </c>
      <c r="M6" s="17">
        <v>45334</v>
      </c>
      <c r="N6" s="17">
        <v>45510</v>
      </c>
      <c r="O6" s="17">
        <v>45459</v>
      </c>
      <c r="P6" s="17">
        <v>45360</v>
      </c>
      <c r="Q6" s="17">
        <v>45292</v>
      </c>
      <c r="R6" s="17">
        <v>45367</v>
      </c>
      <c r="S6" s="17">
        <v>45603</v>
      </c>
      <c r="T6" s="17">
        <v>45542</v>
      </c>
      <c r="U6" s="17">
        <v>45298</v>
      </c>
      <c r="V6" s="17">
        <v>45567</v>
      </c>
      <c r="W6" s="17">
        <v>45336</v>
      </c>
      <c r="X6" s="17">
        <v>45483</v>
      </c>
      <c r="Y6" s="17">
        <v>45617</v>
      </c>
      <c r="Z6" s="17">
        <v>45604</v>
      </c>
      <c r="AA6" s="17">
        <v>45444</v>
      </c>
      <c r="AB6" s="17">
        <v>45475</v>
      </c>
      <c r="AC6" s="17">
        <v>45404</v>
      </c>
      <c r="AD6" s="17">
        <v>45543</v>
      </c>
      <c r="AE6" s="17">
        <v>45481</v>
      </c>
      <c r="AF6" s="17">
        <v>45582</v>
      </c>
      <c r="AG6" s="17">
        <v>45604</v>
      </c>
      <c r="AH6" s="17">
        <v>45493</v>
      </c>
      <c r="AI6" s="17">
        <v>45330</v>
      </c>
      <c r="AJ6" s="17">
        <v>45552</v>
      </c>
      <c r="AK6" s="17">
        <v>45429</v>
      </c>
      <c r="AL6" s="17">
        <v>45635</v>
      </c>
      <c r="AM6" s="17">
        <v>45487</v>
      </c>
      <c r="AN6" s="17">
        <v>45364</v>
      </c>
      <c r="AO6" s="17">
        <v>45631</v>
      </c>
      <c r="AP6" s="17">
        <v>45549</v>
      </c>
      <c r="AQ6" s="17">
        <v>45484</v>
      </c>
      <c r="AR6" s="17">
        <v>45641</v>
      </c>
      <c r="AS6" s="17">
        <v>45384</v>
      </c>
      <c r="AT6" s="17">
        <v>45544</v>
      </c>
      <c r="AU6" s="17">
        <v>45363</v>
      </c>
      <c r="AV6" s="17">
        <v>45571</v>
      </c>
      <c r="AW6" s="17">
        <v>45302</v>
      </c>
      <c r="AX6" s="17">
        <v>45525</v>
      </c>
      <c r="AY6" s="17">
        <v>45583</v>
      </c>
      <c r="AZ6" s="17">
        <v>45609</v>
      </c>
      <c r="BA6" s="17">
        <v>45443</v>
      </c>
      <c r="BB6" s="17">
        <v>45384</v>
      </c>
      <c r="BC6" s="17">
        <v>45539</v>
      </c>
      <c r="BD6" s="17">
        <v>45516</v>
      </c>
      <c r="BE6" s="17">
        <v>45441</v>
      </c>
      <c r="BF6" s="17">
        <v>45648</v>
      </c>
      <c r="BG6" s="17">
        <v>45359</v>
      </c>
      <c r="BH6" s="17">
        <v>45511</v>
      </c>
      <c r="BI6" s="17">
        <v>45311</v>
      </c>
      <c r="BJ6" s="17">
        <v>45296</v>
      </c>
      <c r="BK6" s="17">
        <v>45567</v>
      </c>
      <c r="BL6" s="17">
        <v>45325</v>
      </c>
      <c r="BM6" s="17">
        <v>45415</v>
      </c>
      <c r="BN6" s="17">
        <v>45578</v>
      </c>
      <c r="BO6" s="17">
        <v>45477</v>
      </c>
      <c r="BP6" s="17">
        <v>45521</v>
      </c>
      <c r="BQ6" s="17">
        <v>45621</v>
      </c>
      <c r="BR6" s="17">
        <v>45422</v>
      </c>
      <c r="BS6" s="17">
        <v>45375</v>
      </c>
      <c r="BT6" s="17">
        <v>45313</v>
      </c>
      <c r="BU6" s="17">
        <v>45411</v>
      </c>
      <c r="BV6" s="17">
        <v>45359</v>
      </c>
      <c r="BW6" s="17">
        <v>45495</v>
      </c>
      <c r="BX6" s="17">
        <v>45339</v>
      </c>
      <c r="BY6" s="17">
        <v>45564</v>
      </c>
      <c r="BZ6" s="17">
        <v>45304</v>
      </c>
      <c r="CA6" s="17">
        <v>45641</v>
      </c>
      <c r="CB6" s="17">
        <v>45399</v>
      </c>
      <c r="CC6" s="17">
        <v>45525</v>
      </c>
      <c r="CD6" s="17">
        <v>45624</v>
      </c>
      <c r="CE6" s="17">
        <v>45615</v>
      </c>
      <c r="CF6" s="17">
        <v>45402</v>
      </c>
      <c r="CG6" s="17">
        <v>45434</v>
      </c>
      <c r="CH6" s="17">
        <v>45416</v>
      </c>
      <c r="CI6" s="17">
        <v>45568</v>
      </c>
      <c r="CJ6" s="17">
        <v>45601</v>
      </c>
      <c r="CK6" s="17">
        <v>45607</v>
      </c>
      <c r="CL6" s="17">
        <v>45327</v>
      </c>
      <c r="CM6" s="17">
        <v>45596</v>
      </c>
      <c r="CN6" s="17">
        <v>45552</v>
      </c>
      <c r="CO6" s="17">
        <v>45591</v>
      </c>
      <c r="CP6" s="17">
        <v>45542</v>
      </c>
      <c r="CQ6" s="17">
        <v>45346</v>
      </c>
      <c r="CR6" s="17">
        <v>45335</v>
      </c>
      <c r="CS6" s="17">
        <v>45507</v>
      </c>
      <c r="CT6" s="17">
        <v>45331</v>
      </c>
      <c r="CU6" s="17">
        <v>45423</v>
      </c>
      <c r="CV6" s="17">
        <v>45627</v>
      </c>
      <c r="CW6" s="17">
        <v>45577</v>
      </c>
      <c r="CX6" s="17">
        <v>45428</v>
      </c>
      <c r="CY6" s="17">
        <v>45346</v>
      </c>
      <c r="CZ6" s="17">
        <v>45458</v>
      </c>
      <c r="DA6" s="17">
        <v>45490</v>
      </c>
      <c r="DB6" s="17">
        <v>45441</v>
      </c>
      <c r="DC6" s="17">
        <v>45336</v>
      </c>
      <c r="DD6" s="17">
        <v>45427</v>
      </c>
      <c r="DE6" s="17">
        <v>45501</v>
      </c>
      <c r="DF6" s="17">
        <v>45489</v>
      </c>
      <c r="DG6" s="17">
        <v>45392</v>
      </c>
      <c r="DH6" s="17">
        <v>45472</v>
      </c>
      <c r="DI6" s="17">
        <v>45461</v>
      </c>
      <c r="DJ6" s="17">
        <v>45321</v>
      </c>
      <c r="DK6" s="17">
        <v>45574</v>
      </c>
      <c r="DL6" s="17">
        <v>45612</v>
      </c>
      <c r="DM6" s="17">
        <v>45544</v>
      </c>
      <c r="DN6" s="17">
        <v>45482</v>
      </c>
      <c r="DO6" s="17">
        <v>45506</v>
      </c>
      <c r="DP6" s="17">
        <v>45518</v>
      </c>
      <c r="DQ6" s="17">
        <v>45304</v>
      </c>
      <c r="DR6" s="17">
        <v>45426</v>
      </c>
      <c r="DS6" s="17">
        <v>45398</v>
      </c>
      <c r="DT6" s="17">
        <v>45402</v>
      </c>
      <c r="DU6" s="17">
        <v>45641</v>
      </c>
      <c r="DV6" s="17">
        <v>45526</v>
      </c>
      <c r="DW6" s="17">
        <v>45309</v>
      </c>
      <c r="DX6" s="17">
        <v>45297</v>
      </c>
      <c r="DY6" s="17">
        <v>45627</v>
      </c>
      <c r="DZ6" s="17">
        <v>45341</v>
      </c>
      <c r="EA6" s="17">
        <v>45624</v>
      </c>
      <c r="EB6" s="17">
        <v>45397</v>
      </c>
      <c r="EC6" s="17">
        <v>45474</v>
      </c>
      <c r="ED6" s="17">
        <v>45467</v>
      </c>
      <c r="EE6" s="17">
        <v>45379</v>
      </c>
      <c r="EF6" s="17">
        <v>45441</v>
      </c>
      <c r="EG6" s="17">
        <v>45552</v>
      </c>
      <c r="EH6" s="17">
        <v>45368</v>
      </c>
      <c r="EI6" s="17">
        <v>45525</v>
      </c>
      <c r="EJ6" s="17">
        <v>45623</v>
      </c>
      <c r="EK6" s="17">
        <v>45554</v>
      </c>
      <c r="EL6" s="17">
        <v>45517</v>
      </c>
      <c r="EM6" s="17">
        <v>45377</v>
      </c>
      <c r="EN6" s="17">
        <v>45450</v>
      </c>
      <c r="EO6" s="17">
        <v>45655</v>
      </c>
      <c r="EP6" s="17">
        <v>45604</v>
      </c>
      <c r="EQ6" s="17">
        <v>45599</v>
      </c>
      <c r="ER6" s="17">
        <v>45539</v>
      </c>
      <c r="ES6" s="17">
        <v>45475</v>
      </c>
      <c r="ET6" s="17">
        <v>45413</v>
      </c>
      <c r="EU6" s="17">
        <v>45368</v>
      </c>
      <c r="EV6" s="17">
        <v>45491</v>
      </c>
      <c r="EW6" s="17">
        <v>45377</v>
      </c>
      <c r="EX6" s="17">
        <v>45478</v>
      </c>
      <c r="EY6" s="17">
        <v>45589</v>
      </c>
      <c r="EZ6" s="17">
        <v>45522</v>
      </c>
      <c r="FA6" s="17">
        <v>45591</v>
      </c>
      <c r="FB6" s="17">
        <v>45607</v>
      </c>
      <c r="FC6" s="17">
        <v>45630</v>
      </c>
      <c r="FD6" s="17">
        <v>45355</v>
      </c>
      <c r="FE6" s="17">
        <v>45327</v>
      </c>
      <c r="FF6" s="17">
        <v>45369</v>
      </c>
      <c r="FG6" s="17">
        <v>45580</v>
      </c>
      <c r="FH6" s="17">
        <v>45409</v>
      </c>
      <c r="FI6" s="17">
        <v>45507</v>
      </c>
      <c r="FJ6" s="17">
        <v>45453</v>
      </c>
      <c r="FK6" s="17">
        <v>45337</v>
      </c>
      <c r="FL6" s="17">
        <v>45408</v>
      </c>
      <c r="FM6" s="17">
        <v>45337</v>
      </c>
      <c r="FN6" s="17">
        <v>45653</v>
      </c>
      <c r="FO6" s="17">
        <v>45334</v>
      </c>
      <c r="FP6" s="17">
        <v>45644</v>
      </c>
      <c r="FQ6" s="17">
        <v>45582</v>
      </c>
      <c r="FR6" s="17">
        <v>45387</v>
      </c>
      <c r="FS6" s="17">
        <v>45475</v>
      </c>
      <c r="FT6" s="17">
        <v>45522</v>
      </c>
      <c r="FU6" s="17">
        <v>45557</v>
      </c>
      <c r="FV6" s="17">
        <v>45561</v>
      </c>
      <c r="FW6" s="17">
        <v>45633</v>
      </c>
      <c r="FX6" s="17">
        <v>45293</v>
      </c>
      <c r="FY6" s="17">
        <v>45579</v>
      </c>
      <c r="FZ6" s="17">
        <v>45500</v>
      </c>
      <c r="GA6" s="17">
        <v>45340</v>
      </c>
      <c r="GB6" s="17">
        <v>45445</v>
      </c>
      <c r="GC6" s="17">
        <v>45453</v>
      </c>
      <c r="GD6" s="17">
        <v>45547</v>
      </c>
      <c r="GE6" s="17">
        <v>45630</v>
      </c>
      <c r="GF6" s="17">
        <v>45356</v>
      </c>
      <c r="GG6" s="17">
        <v>45606</v>
      </c>
      <c r="GH6" s="17">
        <v>45558</v>
      </c>
      <c r="GI6" s="17">
        <v>45319</v>
      </c>
      <c r="GJ6" s="17">
        <v>45448</v>
      </c>
      <c r="GK6" s="17">
        <v>45300</v>
      </c>
      <c r="GL6" s="17">
        <v>45539</v>
      </c>
      <c r="GM6" s="17">
        <v>45392</v>
      </c>
      <c r="GN6" s="17">
        <v>45546</v>
      </c>
      <c r="GO6" s="17">
        <v>45602</v>
      </c>
      <c r="GP6" s="17">
        <v>45590</v>
      </c>
      <c r="GQ6" s="17">
        <v>45640</v>
      </c>
      <c r="GR6" s="17">
        <v>45299</v>
      </c>
      <c r="GS6" s="17">
        <v>45533</v>
      </c>
    </row>
    <row r="7" spans="1:201" x14ac:dyDescent="0.3">
      <c r="A7" s="15" t="s">
        <v>2</v>
      </c>
      <c r="B7" s="16">
        <v>2024</v>
      </c>
      <c r="C7" s="16">
        <v>2024</v>
      </c>
      <c r="D7" s="16">
        <v>2024</v>
      </c>
      <c r="E7" s="16">
        <v>2024</v>
      </c>
      <c r="F7" s="16">
        <v>2024</v>
      </c>
      <c r="G7" s="16">
        <v>2024</v>
      </c>
      <c r="H7" s="16">
        <v>2024</v>
      </c>
      <c r="I7" s="16">
        <v>2024</v>
      </c>
      <c r="J7" s="16">
        <v>2024</v>
      </c>
      <c r="K7" s="16">
        <v>2024</v>
      </c>
      <c r="L7" s="16">
        <v>2024</v>
      </c>
      <c r="M7" s="16">
        <v>2024</v>
      </c>
      <c r="N7" s="16">
        <v>2024</v>
      </c>
      <c r="O7" s="16">
        <v>2024</v>
      </c>
      <c r="P7" s="16">
        <v>2024</v>
      </c>
      <c r="Q7" s="16">
        <v>2024</v>
      </c>
      <c r="R7" s="16">
        <v>2024</v>
      </c>
      <c r="S7" s="16">
        <v>2024</v>
      </c>
      <c r="T7" s="16">
        <v>2024</v>
      </c>
      <c r="U7" s="16">
        <v>2024</v>
      </c>
      <c r="V7" s="16">
        <v>2024</v>
      </c>
      <c r="W7" s="16">
        <v>2024</v>
      </c>
      <c r="X7" s="16">
        <v>2024</v>
      </c>
      <c r="Y7" s="16">
        <v>2024</v>
      </c>
      <c r="Z7" s="16">
        <v>2024</v>
      </c>
      <c r="AA7" s="16">
        <v>2024</v>
      </c>
      <c r="AB7" s="16">
        <v>2024</v>
      </c>
      <c r="AC7" s="16">
        <v>2024</v>
      </c>
      <c r="AD7" s="16">
        <v>2024</v>
      </c>
      <c r="AE7" s="16">
        <v>2024</v>
      </c>
      <c r="AF7" s="16">
        <v>2024</v>
      </c>
      <c r="AG7" s="16">
        <v>2024</v>
      </c>
      <c r="AH7" s="16">
        <v>2024</v>
      </c>
      <c r="AI7" s="16">
        <v>2024</v>
      </c>
      <c r="AJ7" s="16">
        <v>2024</v>
      </c>
      <c r="AK7" s="16">
        <v>2024</v>
      </c>
      <c r="AL7" s="16">
        <v>2024</v>
      </c>
      <c r="AM7" s="16">
        <v>2024</v>
      </c>
      <c r="AN7" s="16">
        <v>2024</v>
      </c>
      <c r="AO7" s="16">
        <v>2024</v>
      </c>
      <c r="AP7" s="16">
        <v>2024</v>
      </c>
      <c r="AQ7" s="16">
        <v>2024</v>
      </c>
      <c r="AR7" s="16">
        <v>2024</v>
      </c>
      <c r="AS7" s="16">
        <v>2024</v>
      </c>
      <c r="AT7" s="16">
        <v>2024</v>
      </c>
      <c r="AU7" s="16">
        <v>2024</v>
      </c>
      <c r="AV7" s="16">
        <v>2024</v>
      </c>
      <c r="AW7" s="16">
        <v>2024</v>
      </c>
      <c r="AX7" s="16">
        <v>2024</v>
      </c>
      <c r="AY7" s="16">
        <v>2024</v>
      </c>
      <c r="AZ7" s="16">
        <v>2024</v>
      </c>
      <c r="BA7" s="16">
        <v>2024</v>
      </c>
      <c r="BB7" s="16">
        <v>2024</v>
      </c>
      <c r="BC7" s="16">
        <v>2024</v>
      </c>
      <c r="BD7" s="16">
        <v>2024</v>
      </c>
      <c r="BE7" s="16">
        <v>2024</v>
      </c>
      <c r="BF7" s="16">
        <v>2024</v>
      </c>
      <c r="BG7" s="16">
        <v>2024</v>
      </c>
      <c r="BH7" s="16">
        <v>2024</v>
      </c>
      <c r="BI7" s="16">
        <v>2024</v>
      </c>
      <c r="BJ7" s="16">
        <v>2024</v>
      </c>
      <c r="BK7" s="16">
        <v>2024</v>
      </c>
      <c r="BL7" s="16">
        <v>2024</v>
      </c>
      <c r="BM7" s="16">
        <v>2024</v>
      </c>
      <c r="BN7" s="16">
        <v>2024</v>
      </c>
      <c r="BO7" s="16">
        <v>2024</v>
      </c>
      <c r="BP7" s="16">
        <v>2024</v>
      </c>
      <c r="BQ7" s="16">
        <v>2024</v>
      </c>
      <c r="BR7" s="16">
        <v>2024</v>
      </c>
      <c r="BS7" s="16">
        <v>2024</v>
      </c>
      <c r="BT7" s="16">
        <v>2024</v>
      </c>
      <c r="BU7" s="16">
        <v>2024</v>
      </c>
      <c r="BV7" s="16">
        <v>2024</v>
      </c>
      <c r="BW7" s="16">
        <v>2024</v>
      </c>
      <c r="BX7" s="16">
        <v>2024</v>
      </c>
      <c r="BY7" s="16">
        <v>2024</v>
      </c>
      <c r="BZ7" s="16">
        <v>2024</v>
      </c>
      <c r="CA7" s="16">
        <v>2024</v>
      </c>
      <c r="CB7" s="16">
        <v>2024</v>
      </c>
      <c r="CC7" s="16">
        <v>2024</v>
      </c>
      <c r="CD7" s="16">
        <v>2024</v>
      </c>
      <c r="CE7" s="16">
        <v>2024</v>
      </c>
      <c r="CF7" s="16">
        <v>2024</v>
      </c>
      <c r="CG7" s="16">
        <v>2024</v>
      </c>
      <c r="CH7" s="16">
        <v>2024</v>
      </c>
      <c r="CI7" s="16">
        <v>2024</v>
      </c>
      <c r="CJ7" s="16">
        <v>2024</v>
      </c>
      <c r="CK7" s="16">
        <v>2024</v>
      </c>
      <c r="CL7" s="16">
        <v>2024</v>
      </c>
      <c r="CM7" s="16">
        <v>2024</v>
      </c>
      <c r="CN7" s="16">
        <v>2024</v>
      </c>
      <c r="CO7" s="16">
        <v>2024</v>
      </c>
      <c r="CP7" s="16">
        <v>2024</v>
      </c>
      <c r="CQ7" s="16">
        <v>2024</v>
      </c>
      <c r="CR7" s="16">
        <v>2024</v>
      </c>
      <c r="CS7" s="16">
        <v>2024</v>
      </c>
      <c r="CT7" s="16">
        <v>2024</v>
      </c>
      <c r="CU7" s="16">
        <v>2024</v>
      </c>
      <c r="CV7" s="16">
        <v>2024</v>
      </c>
      <c r="CW7" s="16">
        <v>2024</v>
      </c>
      <c r="CX7" s="16">
        <v>2024</v>
      </c>
      <c r="CY7" s="16">
        <v>2024</v>
      </c>
      <c r="CZ7" s="16">
        <v>2024</v>
      </c>
      <c r="DA7" s="16">
        <v>2024</v>
      </c>
      <c r="DB7" s="16">
        <v>2024</v>
      </c>
      <c r="DC7" s="16">
        <v>2024</v>
      </c>
      <c r="DD7" s="16">
        <v>2024</v>
      </c>
      <c r="DE7" s="16">
        <v>2024</v>
      </c>
      <c r="DF7" s="16">
        <v>2024</v>
      </c>
      <c r="DG7" s="16">
        <v>2024</v>
      </c>
      <c r="DH7" s="16">
        <v>2024</v>
      </c>
      <c r="DI7" s="16">
        <v>2024</v>
      </c>
      <c r="DJ7" s="16">
        <v>2024</v>
      </c>
      <c r="DK7" s="16">
        <v>2024</v>
      </c>
      <c r="DL7" s="16">
        <v>2024</v>
      </c>
      <c r="DM7" s="16">
        <v>2024</v>
      </c>
      <c r="DN7" s="16">
        <v>2024</v>
      </c>
      <c r="DO7" s="16">
        <v>2024</v>
      </c>
      <c r="DP7" s="16">
        <v>2024</v>
      </c>
      <c r="DQ7" s="16">
        <v>2024</v>
      </c>
      <c r="DR7" s="16">
        <v>2024</v>
      </c>
      <c r="DS7" s="16">
        <v>2024</v>
      </c>
      <c r="DT7" s="16">
        <v>2024</v>
      </c>
      <c r="DU7" s="16">
        <v>2024</v>
      </c>
      <c r="DV7" s="16">
        <v>2024</v>
      </c>
      <c r="DW7" s="16">
        <v>2024</v>
      </c>
      <c r="DX7" s="16">
        <v>2024</v>
      </c>
      <c r="DY7" s="16">
        <v>2024</v>
      </c>
      <c r="DZ7" s="16">
        <v>2024</v>
      </c>
      <c r="EA7" s="16">
        <v>2024</v>
      </c>
      <c r="EB7" s="16">
        <v>2024</v>
      </c>
      <c r="EC7" s="16">
        <v>2024</v>
      </c>
      <c r="ED7" s="16">
        <v>2024</v>
      </c>
      <c r="EE7" s="16">
        <v>2024</v>
      </c>
      <c r="EF7" s="16">
        <v>2024</v>
      </c>
      <c r="EG7" s="16">
        <v>2024</v>
      </c>
      <c r="EH7" s="16">
        <v>2024</v>
      </c>
      <c r="EI7" s="16">
        <v>2024</v>
      </c>
      <c r="EJ7" s="16">
        <v>2024</v>
      </c>
      <c r="EK7" s="16">
        <v>2024</v>
      </c>
      <c r="EL7" s="16">
        <v>2024</v>
      </c>
      <c r="EM7" s="16">
        <v>2024</v>
      </c>
      <c r="EN7" s="16">
        <v>2024</v>
      </c>
      <c r="EO7" s="16">
        <v>2024</v>
      </c>
      <c r="EP7" s="16">
        <v>2024</v>
      </c>
      <c r="EQ7" s="16">
        <v>2024</v>
      </c>
      <c r="ER7" s="16">
        <v>2024</v>
      </c>
      <c r="ES7" s="16">
        <v>2024</v>
      </c>
      <c r="ET7" s="16">
        <v>2024</v>
      </c>
      <c r="EU7" s="16">
        <v>2024</v>
      </c>
      <c r="EV7" s="16">
        <v>2024</v>
      </c>
      <c r="EW7" s="16">
        <v>2024</v>
      </c>
      <c r="EX7" s="16">
        <v>2024</v>
      </c>
      <c r="EY7" s="16">
        <v>2024</v>
      </c>
      <c r="EZ7" s="16">
        <v>2024</v>
      </c>
      <c r="FA7" s="16">
        <v>2024</v>
      </c>
      <c r="FB7" s="16">
        <v>2024</v>
      </c>
      <c r="FC7" s="16">
        <v>2024</v>
      </c>
      <c r="FD7" s="16">
        <v>2024</v>
      </c>
      <c r="FE7" s="16">
        <v>2024</v>
      </c>
      <c r="FF7" s="16">
        <v>2024</v>
      </c>
      <c r="FG7" s="16">
        <v>2024</v>
      </c>
      <c r="FH7" s="16">
        <v>2024</v>
      </c>
      <c r="FI7" s="16">
        <v>2024</v>
      </c>
      <c r="FJ7" s="16">
        <v>2024</v>
      </c>
      <c r="FK7" s="16">
        <v>2024</v>
      </c>
      <c r="FL7" s="16">
        <v>2024</v>
      </c>
      <c r="FM7" s="16">
        <v>2024</v>
      </c>
      <c r="FN7" s="16">
        <v>2024</v>
      </c>
      <c r="FO7" s="16">
        <v>2024</v>
      </c>
      <c r="FP7" s="16">
        <v>2024</v>
      </c>
      <c r="FQ7" s="16">
        <v>2024</v>
      </c>
      <c r="FR7" s="16">
        <v>2024</v>
      </c>
      <c r="FS7" s="16">
        <v>2024</v>
      </c>
      <c r="FT7" s="16">
        <v>2024</v>
      </c>
      <c r="FU7" s="16">
        <v>2024</v>
      </c>
      <c r="FV7" s="16">
        <v>2024</v>
      </c>
      <c r="FW7" s="16">
        <v>2024</v>
      </c>
      <c r="FX7" s="16">
        <v>2024</v>
      </c>
      <c r="FY7" s="16">
        <v>2024</v>
      </c>
      <c r="FZ7" s="16">
        <v>2024</v>
      </c>
      <c r="GA7" s="16">
        <v>2024</v>
      </c>
      <c r="GB7" s="16">
        <v>2024</v>
      </c>
      <c r="GC7" s="16">
        <v>2024</v>
      </c>
      <c r="GD7" s="16">
        <v>2024</v>
      </c>
      <c r="GE7" s="16">
        <v>2024</v>
      </c>
      <c r="GF7" s="16">
        <v>2024</v>
      </c>
      <c r="GG7" s="16">
        <v>2024</v>
      </c>
      <c r="GH7" s="16">
        <v>2024</v>
      </c>
      <c r="GI7" s="16">
        <v>2024</v>
      </c>
      <c r="GJ7" s="16">
        <v>2024</v>
      </c>
      <c r="GK7" s="16">
        <v>2024</v>
      </c>
      <c r="GL7" s="16">
        <v>2024</v>
      </c>
      <c r="GM7" s="16">
        <v>2024</v>
      </c>
      <c r="GN7" s="16">
        <v>2024</v>
      </c>
      <c r="GO7" s="16">
        <v>2024</v>
      </c>
      <c r="GP7" s="16">
        <v>2024</v>
      </c>
      <c r="GQ7" s="16">
        <v>2024</v>
      </c>
      <c r="GR7" s="16">
        <v>2024</v>
      </c>
      <c r="GS7" s="16">
        <v>2024</v>
      </c>
    </row>
    <row r="8" spans="1:201" x14ac:dyDescent="0.3">
      <c r="A8" s="15" t="s">
        <v>3</v>
      </c>
      <c r="B8" s="16" t="s">
        <v>15</v>
      </c>
      <c r="C8" s="16" t="s">
        <v>22</v>
      </c>
      <c r="D8" s="16" t="s">
        <v>27</v>
      </c>
      <c r="E8" s="16" t="s">
        <v>32</v>
      </c>
      <c r="F8" s="16" t="s">
        <v>22</v>
      </c>
      <c r="G8" s="16" t="s">
        <v>37</v>
      </c>
      <c r="H8" s="16" t="s">
        <v>41</v>
      </c>
      <c r="I8" s="16" t="s">
        <v>22</v>
      </c>
      <c r="J8" s="16" t="s">
        <v>27</v>
      </c>
      <c r="K8" s="16" t="s">
        <v>32</v>
      </c>
      <c r="L8" s="16" t="s">
        <v>41</v>
      </c>
      <c r="M8" s="16" t="s">
        <v>51</v>
      </c>
      <c r="N8" s="16" t="s">
        <v>54</v>
      </c>
      <c r="O8" s="16" t="s">
        <v>15</v>
      </c>
      <c r="P8" s="16" t="s">
        <v>32</v>
      </c>
      <c r="Q8" s="16" t="s">
        <v>27</v>
      </c>
      <c r="R8" s="16" t="s">
        <v>32</v>
      </c>
      <c r="S8" s="16" t="s">
        <v>62</v>
      </c>
      <c r="T8" s="16" t="s">
        <v>64</v>
      </c>
      <c r="U8" s="16" t="s">
        <v>27</v>
      </c>
      <c r="V8" s="16" t="s">
        <v>67</v>
      </c>
      <c r="W8" s="16" t="s">
        <v>51</v>
      </c>
      <c r="X8" s="16" t="s">
        <v>22</v>
      </c>
      <c r="Y8" s="16" t="s">
        <v>62</v>
      </c>
      <c r="Z8" s="16" t="s">
        <v>62</v>
      </c>
      <c r="AA8" s="16" t="s">
        <v>15</v>
      </c>
      <c r="AB8" s="16" t="s">
        <v>22</v>
      </c>
      <c r="AC8" s="16" t="s">
        <v>37</v>
      </c>
      <c r="AD8" s="16" t="s">
        <v>64</v>
      </c>
      <c r="AE8" s="16" t="s">
        <v>22</v>
      </c>
      <c r="AF8" s="16" t="s">
        <v>67</v>
      </c>
      <c r="AG8" s="16" t="s">
        <v>62</v>
      </c>
      <c r="AH8" s="16" t="s">
        <v>22</v>
      </c>
      <c r="AI8" s="16" t="s">
        <v>51</v>
      </c>
      <c r="AJ8" s="16" t="s">
        <v>64</v>
      </c>
      <c r="AK8" s="16" t="s">
        <v>83</v>
      </c>
      <c r="AL8" s="16" t="s">
        <v>41</v>
      </c>
      <c r="AM8" s="16" t="s">
        <v>22</v>
      </c>
      <c r="AN8" s="16" t="s">
        <v>32</v>
      </c>
      <c r="AO8" s="16" t="s">
        <v>41</v>
      </c>
      <c r="AP8" s="16" t="s">
        <v>64</v>
      </c>
      <c r="AQ8" s="16" t="s">
        <v>22</v>
      </c>
      <c r="AR8" s="16" t="s">
        <v>41</v>
      </c>
      <c r="AS8" s="16" t="s">
        <v>37</v>
      </c>
      <c r="AT8" s="16" t="s">
        <v>64</v>
      </c>
      <c r="AU8" s="16" t="s">
        <v>32</v>
      </c>
      <c r="AV8" s="16" t="s">
        <v>67</v>
      </c>
      <c r="AW8" s="16" t="s">
        <v>27</v>
      </c>
      <c r="AX8" s="16" t="s">
        <v>54</v>
      </c>
      <c r="AY8" s="16" t="s">
        <v>67</v>
      </c>
      <c r="AZ8" s="16" t="s">
        <v>62</v>
      </c>
      <c r="BA8" s="16" t="s">
        <v>83</v>
      </c>
      <c r="BB8" s="16" t="s">
        <v>37</v>
      </c>
      <c r="BC8" s="16" t="s">
        <v>64</v>
      </c>
      <c r="BD8" s="16" t="s">
        <v>54</v>
      </c>
      <c r="BE8" s="16" t="s">
        <v>83</v>
      </c>
      <c r="BF8" s="16" t="s">
        <v>41</v>
      </c>
      <c r="BG8" s="16" t="s">
        <v>32</v>
      </c>
      <c r="BH8" s="16" t="s">
        <v>54</v>
      </c>
      <c r="BI8" s="16" t="s">
        <v>27</v>
      </c>
      <c r="BJ8" s="16" t="s">
        <v>27</v>
      </c>
      <c r="BK8" s="16" t="s">
        <v>67</v>
      </c>
      <c r="BL8" s="16" t="s">
        <v>51</v>
      </c>
      <c r="BM8" s="16" t="s">
        <v>83</v>
      </c>
      <c r="BN8" s="16" t="s">
        <v>67</v>
      </c>
      <c r="BO8" s="16" t="s">
        <v>22</v>
      </c>
      <c r="BP8" s="16" t="s">
        <v>54</v>
      </c>
      <c r="BQ8" s="16" t="s">
        <v>62</v>
      </c>
      <c r="BR8" s="16" t="s">
        <v>83</v>
      </c>
      <c r="BS8" s="16" t="s">
        <v>32</v>
      </c>
      <c r="BT8" s="16" t="s">
        <v>27</v>
      </c>
      <c r="BU8" s="16" t="s">
        <v>37</v>
      </c>
      <c r="BV8" s="16" t="s">
        <v>32</v>
      </c>
      <c r="BW8" s="16" t="s">
        <v>22</v>
      </c>
      <c r="BX8" s="16" t="s">
        <v>51</v>
      </c>
      <c r="BY8" s="16" t="s">
        <v>64</v>
      </c>
      <c r="BZ8" s="16" t="s">
        <v>27</v>
      </c>
      <c r="CA8" s="16" t="s">
        <v>41</v>
      </c>
      <c r="CB8" s="16" t="s">
        <v>37</v>
      </c>
      <c r="CC8" s="16" t="s">
        <v>54</v>
      </c>
      <c r="CD8" s="16" t="s">
        <v>62</v>
      </c>
      <c r="CE8" s="16" t="s">
        <v>62</v>
      </c>
      <c r="CF8" s="16" t="s">
        <v>37</v>
      </c>
      <c r="CG8" s="16" t="s">
        <v>83</v>
      </c>
      <c r="CH8" s="16" t="s">
        <v>83</v>
      </c>
      <c r="CI8" s="16" t="s">
        <v>67</v>
      </c>
      <c r="CJ8" s="16" t="s">
        <v>62</v>
      </c>
      <c r="CK8" s="16" t="s">
        <v>62</v>
      </c>
      <c r="CL8" s="16" t="s">
        <v>51</v>
      </c>
      <c r="CM8" s="16" t="s">
        <v>67</v>
      </c>
      <c r="CN8" s="16" t="s">
        <v>64</v>
      </c>
      <c r="CO8" s="16" t="s">
        <v>67</v>
      </c>
      <c r="CP8" s="16" t="s">
        <v>64</v>
      </c>
      <c r="CQ8" s="16" t="s">
        <v>51</v>
      </c>
      <c r="CR8" s="16" t="s">
        <v>51</v>
      </c>
      <c r="CS8" s="16" t="s">
        <v>54</v>
      </c>
      <c r="CT8" s="16" t="s">
        <v>51</v>
      </c>
      <c r="CU8" s="16" t="s">
        <v>83</v>
      </c>
      <c r="CV8" s="16" t="s">
        <v>41</v>
      </c>
      <c r="CW8" s="16" t="s">
        <v>67</v>
      </c>
      <c r="CX8" s="16" t="s">
        <v>83</v>
      </c>
      <c r="CY8" s="16" t="s">
        <v>51</v>
      </c>
      <c r="CZ8" s="16" t="s">
        <v>15</v>
      </c>
      <c r="DA8" s="16" t="s">
        <v>22</v>
      </c>
      <c r="DB8" s="16" t="s">
        <v>83</v>
      </c>
      <c r="DC8" s="16" t="s">
        <v>51</v>
      </c>
      <c r="DD8" s="16" t="s">
        <v>83</v>
      </c>
      <c r="DE8" s="16" t="s">
        <v>22</v>
      </c>
      <c r="DF8" s="16" t="s">
        <v>22</v>
      </c>
      <c r="DG8" s="16" t="s">
        <v>37</v>
      </c>
      <c r="DH8" s="16" t="s">
        <v>15</v>
      </c>
      <c r="DI8" s="16" t="s">
        <v>15</v>
      </c>
      <c r="DJ8" s="16" t="s">
        <v>27</v>
      </c>
      <c r="DK8" s="16" t="s">
        <v>67</v>
      </c>
      <c r="DL8" s="16" t="s">
        <v>62</v>
      </c>
      <c r="DM8" s="16" t="s">
        <v>64</v>
      </c>
      <c r="DN8" s="16" t="s">
        <v>22</v>
      </c>
      <c r="DO8" s="16" t="s">
        <v>54</v>
      </c>
      <c r="DP8" s="16" t="s">
        <v>54</v>
      </c>
      <c r="DQ8" s="16" t="s">
        <v>27</v>
      </c>
      <c r="DR8" s="16" t="s">
        <v>83</v>
      </c>
      <c r="DS8" s="16" t="s">
        <v>37</v>
      </c>
      <c r="DT8" s="16" t="s">
        <v>37</v>
      </c>
      <c r="DU8" s="16" t="s">
        <v>41</v>
      </c>
      <c r="DV8" s="16" t="s">
        <v>54</v>
      </c>
      <c r="DW8" s="16" t="s">
        <v>27</v>
      </c>
      <c r="DX8" s="16" t="s">
        <v>27</v>
      </c>
      <c r="DY8" s="16" t="s">
        <v>41</v>
      </c>
      <c r="DZ8" s="16" t="s">
        <v>51</v>
      </c>
      <c r="EA8" s="16" t="s">
        <v>62</v>
      </c>
      <c r="EB8" s="16" t="s">
        <v>37</v>
      </c>
      <c r="EC8" s="16" t="s">
        <v>22</v>
      </c>
      <c r="ED8" s="16" t="s">
        <v>15</v>
      </c>
      <c r="EE8" s="16" t="s">
        <v>32</v>
      </c>
      <c r="EF8" s="16" t="s">
        <v>83</v>
      </c>
      <c r="EG8" s="16" t="s">
        <v>64</v>
      </c>
      <c r="EH8" s="16" t="s">
        <v>32</v>
      </c>
      <c r="EI8" s="16" t="s">
        <v>54</v>
      </c>
      <c r="EJ8" s="16" t="s">
        <v>62</v>
      </c>
      <c r="EK8" s="16" t="s">
        <v>64</v>
      </c>
      <c r="EL8" s="16" t="s">
        <v>54</v>
      </c>
      <c r="EM8" s="16" t="s">
        <v>32</v>
      </c>
      <c r="EN8" s="16" t="s">
        <v>15</v>
      </c>
      <c r="EO8" s="16" t="s">
        <v>41</v>
      </c>
      <c r="EP8" s="16" t="s">
        <v>62</v>
      </c>
      <c r="EQ8" s="16" t="s">
        <v>62</v>
      </c>
      <c r="ER8" s="16" t="s">
        <v>64</v>
      </c>
      <c r="ES8" s="16" t="s">
        <v>22</v>
      </c>
      <c r="ET8" s="16" t="s">
        <v>83</v>
      </c>
      <c r="EU8" s="16" t="s">
        <v>32</v>
      </c>
      <c r="EV8" s="16" t="s">
        <v>22</v>
      </c>
      <c r="EW8" s="16" t="s">
        <v>32</v>
      </c>
      <c r="EX8" s="16" t="s">
        <v>22</v>
      </c>
      <c r="EY8" s="16" t="s">
        <v>67</v>
      </c>
      <c r="EZ8" s="16" t="s">
        <v>54</v>
      </c>
      <c r="FA8" s="16" t="s">
        <v>67</v>
      </c>
      <c r="FB8" s="16" t="s">
        <v>62</v>
      </c>
      <c r="FC8" s="16" t="s">
        <v>41</v>
      </c>
      <c r="FD8" s="16" t="s">
        <v>32</v>
      </c>
      <c r="FE8" s="16" t="s">
        <v>51</v>
      </c>
      <c r="FF8" s="16" t="s">
        <v>32</v>
      </c>
      <c r="FG8" s="16" t="s">
        <v>67</v>
      </c>
      <c r="FH8" s="16" t="s">
        <v>37</v>
      </c>
      <c r="FI8" s="16" t="s">
        <v>54</v>
      </c>
      <c r="FJ8" s="16" t="s">
        <v>15</v>
      </c>
      <c r="FK8" s="16" t="s">
        <v>51</v>
      </c>
      <c r="FL8" s="16" t="s">
        <v>37</v>
      </c>
      <c r="FM8" s="16" t="s">
        <v>51</v>
      </c>
      <c r="FN8" s="16" t="s">
        <v>41</v>
      </c>
      <c r="FO8" s="16" t="s">
        <v>51</v>
      </c>
      <c r="FP8" s="16" t="s">
        <v>41</v>
      </c>
      <c r="FQ8" s="16" t="s">
        <v>67</v>
      </c>
      <c r="FR8" s="16" t="s">
        <v>37</v>
      </c>
      <c r="FS8" s="16" t="s">
        <v>22</v>
      </c>
      <c r="FT8" s="16" t="s">
        <v>54</v>
      </c>
      <c r="FU8" s="16" t="s">
        <v>64</v>
      </c>
      <c r="FV8" s="16" t="s">
        <v>64</v>
      </c>
      <c r="FW8" s="16" t="s">
        <v>41</v>
      </c>
      <c r="FX8" s="16" t="s">
        <v>27</v>
      </c>
      <c r="FY8" s="16" t="s">
        <v>67</v>
      </c>
      <c r="FZ8" s="16" t="s">
        <v>22</v>
      </c>
      <c r="GA8" s="16" t="s">
        <v>51</v>
      </c>
      <c r="GB8" s="16" t="s">
        <v>15</v>
      </c>
      <c r="GC8" s="16" t="s">
        <v>15</v>
      </c>
      <c r="GD8" s="16" t="s">
        <v>64</v>
      </c>
      <c r="GE8" s="16" t="s">
        <v>41</v>
      </c>
      <c r="GF8" s="16" t="s">
        <v>32</v>
      </c>
      <c r="GG8" s="16" t="s">
        <v>62</v>
      </c>
      <c r="GH8" s="16" t="s">
        <v>64</v>
      </c>
      <c r="GI8" s="16" t="s">
        <v>27</v>
      </c>
      <c r="GJ8" s="16" t="s">
        <v>15</v>
      </c>
      <c r="GK8" s="16" t="s">
        <v>27</v>
      </c>
      <c r="GL8" s="16" t="s">
        <v>64</v>
      </c>
      <c r="GM8" s="16" t="s">
        <v>37</v>
      </c>
      <c r="GN8" s="16" t="s">
        <v>64</v>
      </c>
      <c r="GO8" s="16" t="s">
        <v>62</v>
      </c>
      <c r="GP8" s="16" t="s">
        <v>67</v>
      </c>
      <c r="GQ8" s="16" t="s">
        <v>41</v>
      </c>
      <c r="GR8" s="16" t="s">
        <v>27</v>
      </c>
      <c r="GS8" s="16" t="s">
        <v>54</v>
      </c>
    </row>
    <row r="9" spans="1:201" x14ac:dyDescent="0.3">
      <c r="A9" s="15" t="s">
        <v>4</v>
      </c>
      <c r="B9" s="16" t="s">
        <v>16</v>
      </c>
      <c r="C9" s="16" t="s">
        <v>23</v>
      </c>
      <c r="D9" s="16" t="s">
        <v>28</v>
      </c>
      <c r="E9" s="16" t="s">
        <v>16</v>
      </c>
      <c r="F9" s="16" t="s">
        <v>16</v>
      </c>
      <c r="G9" s="16" t="s">
        <v>28</v>
      </c>
      <c r="H9" s="16" t="s">
        <v>42</v>
      </c>
      <c r="I9" s="16" t="s">
        <v>16</v>
      </c>
      <c r="J9" s="16" t="s">
        <v>23</v>
      </c>
      <c r="K9" s="16" t="s">
        <v>16</v>
      </c>
      <c r="L9" s="16" t="s">
        <v>49</v>
      </c>
      <c r="M9" s="16" t="s">
        <v>16</v>
      </c>
      <c r="N9" s="16" t="s">
        <v>42</v>
      </c>
      <c r="O9" s="16" t="s">
        <v>49</v>
      </c>
      <c r="P9" s="16" t="s">
        <v>23</v>
      </c>
      <c r="Q9" s="16" t="s">
        <v>16</v>
      </c>
      <c r="R9" s="16" t="s">
        <v>16</v>
      </c>
      <c r="S9" s="16" t="s">
        <v>28</v>
      </c>
      <c r="T9" s="16" t="s">
        <v>28</v>
      </c>
      <c r="U9" s="16" t="s">
        <v>49</v>
      </c>
      <c r="V9" s="16" t="s">
        <v>42</v>
      </c>
      <c r="W9" s="16" t="s">
        <v>23</v>
      </c>
      <c r="X9" s="16" t="s">
        <v>28</v>
      </c>
      <c r="Y9" s="16" t="s">
        <v>16</v>
      </c>
      <c r="Z9" s="16" t="s">
        <v>28</v>
      </c>
      <c r="AA9" s="16" t="s">
        <v>23</v>
      </c>
      <c r="AB9" s="16" t="s">
        <v>23</v>
      </c>
      <c r="AC9" s="16" t="s">
        <v>16</v>
      </c>
      <c r="AD9" s="16" t="s">
        <v>49</v>
      </c>
      <c r="AE9" s="16" t="s">
        <v>42</v>
      </c>
      <c r="AF9" s="16" t="s">
        <v>16</v>
      </c>
      <c r="AG9" s="16" t="s">
        <v>49</v>
      </c>
      <c r="AH9" s="16" t="s">
        <v>42</v>
      </c>
      <c r="AI9" s="16" t="s">
        <v>23</v>
      </c>
      <c r="AJ9" s="16" t="s">
        <v>16</v>
      </c>
      <c r="AK9" s="16" t="s">
        <v>42</v>
      </c>
      <c r="AL9" s="16" t="s">
        <v>49</v>
      </c>
      <c r="AM9" s="16" t="s">
        <v>49</v>
      </c>
      <c r="AN9" s="16" t="s">
        <v>28</v>
      </c>
      <c r="AO9" s="16" t="s">
        <v>49</v>
      </c>
      <c r="AP9" s="16" t="s">
        <v>42</v>
      </c>
      <c r="AQ9" s="16" t="s">
        <v>28</v>
      </c>
      <c r="AR9" s="16" t="s">
        <v>49</v>
      </c>
      <c r="AS9" s="16" t="s">
        <v>28</v>
      </c>
      <c r="AT9" s="16" t="s">
        <v>16</v>
      </c>
      <c r="AU9" s="16" t="s">
        <v>42</v>
      </c>
      <c r="AV9" s="16" t="s">
        <v>23</v>
      </c>
      <c r="AW9" s="16" t="s">
        <v>23</v>
      </c>
      <c r="AX9" s="16" t="s">
        <v>16</v>
      </c>
      <c r="AY9" s="16" t="s">
        <v>28</v>
      </c>
      <c r="AZ9" s="16" t="s">
        <v>49</v>
      </c>
      <c r="BA9" s="16" t="s">
        <v>42</v>
      </c>
      <c r="BB9" s="16" t="s">
        <v>16</v>
      </c>
      <c r="BC9" s="16" t="s">
        <v>28</v>
      </c>
      <c r="BD9" s="16" t="s">
        <v>42</v>
      </c>
      <c r="BE9" s="16" t="s">
        <v>16</v>
      </c>
      <c r="BF9" s="16" t="s">
        <v>23</v>
      </c>
      <c r="BG9" s="16" t="s">
        <v>28</v>
      </c>
      <c r="BH9" s="16" t="s">
        <v>28</v>
      </c>
      <c r="BI9" s="16" t="s">
        <v>28</v>
      </c>
      <c r="BJ9" s="16" t="s">
        <v>28</v>
      </c>
      <c r="BK9" s="16" t="s">
        <v>49</v>
      </c>
      <c r="BL9" s="16" t="s">
        <v>42</v>
      </c>
      <c r="BM9" s="16" t="s">
        <v>23</v>
      </c>
      <c r="BN9" s="16" t="s">
        <v>16</v>
      </c>
      <c r="BO9" s="16" t="s">
        <v>23</v>
      </c>
      <c r="BP9" s="16" t="s">
        <v>42</v>
      </c>
      <c r="BQ9" s="16" t="s">
        <v>23</v>
      </c>
      <c r="BR9" s="16" t="s">
        <v>16</v>
      </c>
      <c r="BS9" s="16" t="s">
        <v>23</v>
      </c>
      <c r="BT9" s="16" t="s">
        <v>28</v>
      </c>
      <c r="BU9" s="16" t="s">
        <v>23</v>
      </c>
      <c r="BV9" s="16" t="s">
        <v>28</v>
      </c>
      <c r="BW9" s="16" t="s">
        <v>16</v>
      </c>
      <c r="BX9" s="16" t="s">
        <v>49</v>
      </c>
      <c r="BY9" s="16" t="s">
        <v>49</v>
      </c>
      <c r="BZ9" s="16" t="s">
        <v>16</v>
      </c>
      <c r="CA9" s="16" t="s">
        <v>28</v>
      </c>
      <c r="CB9" s="16" t="s">
        <v>16</v>
      </c>
      <c r="CC9" s="16" t="s">
        <v>42</v>
      </c>
      <c r="CD9" s="16" t="s">
        <v>28</v>
      </c>
      <c r="CE9" s="16" t="s">
        <v>23</v>
      </c>
      <c r="CF9" s="16" t="s">
        <v>42</v>
      </c>
      <c r="CG9" s="16" t="s">
        <v>42</v>
      </c>
      <c r="CH9" s="16" t="s">
        <v>49</v>
      </c>
      <c r="CI9" s="16" t="s">
        <v>28</v>
      </c>
      <c r="CJ9" s="16" t="s">
        <v>16</v>
      </c>
      <c r="CK9" s="16" t="s">
        <v>49</v>
      </c>
      <c r="CL9" s="16" t="s">
        <v>28</v>
      </c>
      <c r="CM9" s="16" t="s">
        <v>16</v>
      </c>
      <c r="CN9" s="16" t="s">
        <v>28</v>
      </c>
      <c r="CO9" s="16" t="s">
        <v>42</v>
      </c>
      <c r="CP9" s="16" t="s">
        <v>23</v>
      </c>
      <c r="CQ9" s="16" t="s">
        <v>49</v>
      </c>
      <c r="CR9" s="16" t="s">
        <v>49</v>
      </c>
      <c r="CS9" s="16" t="s">
        <v>28</v>
      </c>
      <c r="CT9" s="16" t="s">
        <v>16</v>
      </c>
      <c r="CU9" s="16" t="s">
        <v>49</v>
      </c>
      <c r="CV9" s="16" t="s">
        <v>49</v>
      </c>
      <c r="CW9" s="16" t="s">
        <v>23</v>
      </c>
      <c r="CX9" s="16" t="s">
        <v>49</v>
      </c>
      <c r="CY9" s="16" t="s">
        <v>42</v>
      </c>
      <c r="CZ9" s="16" t="s">
        <v>42</v>
      </c>
      <c r="DA9" s="16" t="s">
        <v>16</v>
      </c>
      <c r="DB9" s="16" t="s">
        <v>28</v>
      </c>
      <c r="DC9" s="16" t="s">
        <v>23</v>
      </c>
      <c r="DD9" s="16" t="s">
        <v>23</v>
      </c>
      <c r="DE9" s="16" t="s">
        <v>49</v>
      </c>
      <c r="DF9" s="16" t="s">
        <v>49</v>
      </c>
      <c r="DG9" s="16" t="s">
        <v>42</v>
      </c>
      <c r="DH9" s="16" t="s">
        <v>23</v>
      </c>
      <c r="DI9" s="16" t="s">
        <v>16</v>
      </c>
      <c r="DJ9" s="16" t="s">
        <v>16</v>
      </c>
      <c r="DK9" s="16" t="s">
        <v>16</v>
      </c>
      <c r="DL9" s="16" t="s">
        <v>28</v>
      </c>
      <c r="DM9" s="16" t="s">
        <v>42</v>
      </c>
      <c r="DN9" s="16" t="s">
        <v>23</v>
      </c>
      <c r="DO9" s="16" t="s">
        <v>49</v>
      </c>
      <c r="DP9" s="16" t="s">
        <v>28</v>
      </c>
      <c r="DQ9" s="16" t="s">
        <v>16</v>
      </c>
      <c r="DR9" s="16" t="s">
        <v>23</v>
      </c>
      <c r="DS9" s="16" t="s">
        <v>42</v>
      </c>
      <c r="DT9" s="16" t="s">
        <v>49</v>
      </c>
      <c r="DU9" s="16" t="s">
        <v>42</v>
      </c>
      <c r="DV9" s="16" t="s">
        <v>16</v>
      </c>
      <c r="DW9" s="16" t="s">
        <v>42</v>
      </c>
      <c r="DX9" s="16" t="s">
        <v>49</v>
      </c>
      <c r="DY9" s="16" t="s">
        <v>49</v>
      </c>
      <c r="DZ9" s="16" t="s">
        <v>49</v>
      </c>
      <c r="EA9" s="16" t="s">
        <v>23</v>
      </c>
      <c r="EB9" s="16" t="s">
        <v>28</v>
      </c>
      <c r="EC9" s="16" t="s">
        <v>23</v>
      </c>
      <c r="ED9" s="16" t="s">
        <v>16</v>
      </c>
      <c r="EE9" s="16" t="s">
        <v>23</v>
      </c>
      <c r="EF9" s="16" t="s">
        <v>28</v>
      </c>
      <c r="EG9" s="16" t="s">
        <v>42</v>
      </c>
      <c r="EH9" s="16" t="s">
        <v>16</v>
      </c>
      <c r="EI9" s="16" t="s">
        <v>23</v>
      </c>
      <c r="EJ9" s="16" t="s">
        <v>16</v>
      </c>
      <c r="EK9" s="16" t="s">
        <v>23</v>
      </c>
      <c r="EL9" s="16" t="s">
        <v>23</v>
      </c>
      <c r="EM9" s="16" t="s">
        <v>28</v>
      </c>
      <c r="EN9" s="16" t="s">
        <v>49</v>
      </c>
      <c r="EO9" s="16" t="s">
        <v>42</v>
      </c>
      <c r="EP9" s="16" t="s">
        <v>28</v>
      </c>
      <c r="EQ9" s="16" t="s">
        <v>28</v>
      </c>
      <c r="ER9" s="16" t="s">
        <v>42</v>
      </c>
      <c r="ES9" s="16" t="s">
        <v>42</v>
      </c>
      <c r="ET9" s="16" t="s">
        <v>42</v>
      </c>
      <c r="EU9" s="16" t="s">
        <v>28</v>
      </c>
      <c r="EV9" s="16" t="s">
        <v>16</v>
      </c>
      <c r="EW9" s="16" t="s">
        <v>28</v>
      </c>
      <c r="EX9" s="16" t="s">
        <v>23</v>
      </c>
      <c r="EY9" s="16" t="s">
        <v>28</v>
      </c>
      <c r="EZ9" s="16" t="s">
        <v>49</v>
      </c>
      <c r="FA9" s="16" t="s">
        <v>49</v>
      </c>
      <c r="FB9" s="16" t="s">
        <v>23</v>
      </c>
      <c r="FC9" s="16" t="s">
        <v>28</v>
      </c>
      <c r="FD9" s="16" t="s">
        <v>49</v>
      </c>
      <c r="FE9" s="16" t="s">
        <v>23</v>
      </c>
      <c r="FF9" s="16" t="s">
        <v>28</v>
      </c>
      <c r="FG9" s="16" t="s">
        <v>42</v>
      </c>
      <c r="FH9" s="16" t="s">
        <v>16</v>
      </c>
      <c r="FI9" s="16" t="s">
        <v>49</v>
      </c>
      <c r="FJ9" s="16" t="s">
        <v>23</v>
      </c>
      <c r="FK9" s="16" t="s">
        <v>23</v>
      </c>
      <c r="FL9" s="16" t="s">
        <v>16</v>
      </c>
      <c r="FM9" s="16" t="s">
        <v>42</v>
      </c>
      <c r="FN9" s="16" t="s">
        <v>49</v>
      </c>
      <c r="FO9" s="16" t="s">
        <v>23</v>
      </c>
      <c r="FP9" s="16" t="s">
        <v>23</v>
      </c>
      <c r="FQ9" s="16" t="s">
        <v>23</v>
      </c>
      <c r="FR9" s="16" t="s">
        <v>28</v>
      </c>
      <c r="FS9" s="16" t="s">
        <v>49</v>
      </c>
      <c r="FT9" s="16" t="s">
        <v>28</v>
      </c>
      <c r="FU9" s="16" t="s">
        <v>16</v>
      </c>
      <c r="FV9" s="16" t="s">
        <v>23</v>
      </c>
      <c r="FW9" s="16" t="s">
        <v>23</v>
      </c>
      <c r="FX9" s="16" t="s">
        <v>16</v>
      </c>
      <c r="FY9" s="16" t="s">
        <v>23</v>
      </c>
      <c r="FZ9" s="16" t="s">
        <v>16</v>
      </c>
      <c r="GA9" s="16" t="s">
        <v>23</v>
      </c>
      <c r="GB9" s="16" t="s">
        <v>16</v>
      </c>
      <c r="GC9" s="16" t="s">
        <v>28</v>
      </c>
      <c r="GD9" s="16" t="s">
        <v>16</v>
      </c>
      <c r="GE9" s="16" t="s">
        <v>28</v>
      </c>
      <c r="GF9" s="16" t="s">
        <v>42</v>
      </c>
      <c r="GG9" s="16" t="s">
        <v>28</v>
      </c>
      <c r="GH9" s="16" t="s">
        <v>28</v>
      </c>
      <c r="GI9" s="16" t="s">
        <v>42</v>
      </c>
      <c r="GJ9" s="16" t="s">
        <v>16</v>
      </c>
      <c r="GK9" s="16" t="s">
        <v>42</v>
      </c>
      <c r="GL9" s="16" t="s">
        <v>16</v>
      </c>
      <c r="GM9" s="16" t="s">
        <v>23</v>
      </c>
      <c r="GN9" s="16" t="s">
        <v>23</v>
      </c>
      <c r="GO9" s="16" t="s">
        <v>16</v>
      </c>
      <c r="GP9" s="16" t="s">
        <v>23</v>
      </c>
      <c r="GQ9" s="16" t="s">
        <v>28</v>
      </c>
      <c r="GR9" s="16" t="s">
        <v>28</v>
      </c>
      <c r="GS9" s="16" t="s">
        <v>42</v>
      </c>
    </row>
    <row r="10" spans="1:201" x14ac:dyDescent="0.3">
      <c r="A10" s="15" t="s">
        <v>5</v>
      </c>
      <c r="B10" s="16" t="s">
        <v>17</v>
      </c>
      <c r="C10" s="16" t="s">
        <v>24</v>
      </c>
      <c r="D10" s="16" t="s">
        <v>24</v>
      </c>
      <c r="E10" s="16" t="s">
        <v>17</v>
      </c>
      <c r="F10" s="16" t="s">
        <v>34</v>
      </c>
      <c r="G10" s="16" t="s">
        <v>38</v>
      </c>
      <c r="H10" s="16" t="s">
        <v>43</v>
      </c>
      <c r="I10" s="16" t="s">
        <v>34</v>
      </c>
      <c r="J10" s="16" t="s">
        <v>24</v>
      </c>
      <c r="K10" s="16" t="s">
        <v>38</v>
      </c>
      <c r="L10" s="16" t="s">
        <v>38</v>
      </c>
      <c r="M10" s="16" t="s">
        <v>34</v>
      </c>
      <c r="N10" s="16" t="s">
        <v>34</v>
      </c>
      <c r="O10" s="16" t="s">
        <v>24</v>
      </c>
      <c r="P10" s="16" t="s">
        <v>34</v>
      </c>
      <c r="Q10" s="16" t="s">
        <v>38</v>
      </c>
      <c r="R10" s="16" t="s">
        <v>38</v>
      </c>
      <c r="S10" s="16" t="s">
        <v>17</v>
      </c>
      <c r="T10" s="16" t="s">
        <v>43</v>
      </c>
      <c r="U10" s="16" t="s">
        <v>17</v>
      </c>
      <c r="V10" s="16" t="s">
        <v>17</v>
      </c>
      <c r="W10" s="16" t="s">
        <v>24</v>
      </c>
      <c r="X10" s="16" t="s">
        <v>17</v>
      </c>
      <c r="Y10" s="16" t="s">
        <v>43</v>
      </c>
      <c r="Z10" s="16" t="s">
        <v>24</v>
      </c>
      <c r="AA10" s="16" t="s">
        <v>24</v>
      </c>
      <c r="AB10" s="16" t="s">
        <v>38</v>
      </c>
      <c r="AC10" s="16" t="s">
        <v>34</v>
      </c>
      <c r="AD10" s="16" t="s">
        <v>24</v>
      </c>
      <c r="AE10" s="16" t="s">
        <v>38</v>
      </c>
      <c r="AF10" s="16" t="s">
        <v>38</v>
      </c>
      <c r="AG10" s="16" t="s">
        <v>38</v>
      </c>
      <c r="AH10" s="16" t="s">
        <v>24</v>
      </c>
      <c r="AI10" s="16" t="s">
        <v>24</v>
      </c>
      <c r="AJ10" s="16" t="s">
        <v>17</v>
      </c>
      <c r="AK10" s="16" t="s">
        <v>34</v>
      </c>
      <c r="AL10" s="16" t="s">
        <v>24</v>
      </c>
      <c r="AM10" s="16" t="s">
        <v>38</v>
      </c>
      <c r="AN10" s="16" t="s">
        <v>34</v>
      </c>
      <c r="AO10" s="16" t="s">
        <v>17</v>
      </c>
      <c r="AP10" s="16" t="s">
        <v>38</v>
      </c>
      <c r="AQ10" s="16" t="s">
        <v>43</v>
      </c>
      <c r="AR10" s="16" t="s">
        <v>43</v>
      </c>
      <c r="AS10" s="16" t="s">
        <v>38</v>
      </c>
      <c r="AT10" s="16" t="s">
        <v>43</v>
      </c>
      <c r="AU10" s="16" t="s">
        <v>43</v>
      </c>
      <c r="AV10" s="16" t="s">
        <v>17</v>
      </c>
      <c r="AW10" s="16" t="s">
        <v>34</v>
      </c>
      <c r="AX10" s="16" t="s">
        <v>24</v>
      </c>
      <c r="AY10" s="16" t="s">
        <v>43</v>
      </c>
      <c r="AZ10" s="16" t="s">
        <v>38</v>
      </c>
      <c r="BA10" s="16" t="s">
        <v>24</v>
      </c>
      <c r="BB10" s="16" t="s">
        <v>17</v>
      </c>
      <c r="BC10" s="16" t="s">
        <v>17</v>
      </c>
      <c r="BD10" s="16" t="s">
        <v>34</v>
      </c>
      <c r="BE10" s="16" t="s">
        <v>43</v>
      </c>
      <c r="BF10" s="16" t="s">
        <v>24</v>
      </c>
      <c r="BG10" s="16" t="s">
        <v>24</v>
      </c>
      <c r="BH10" s="16" t="s">
        <v>38</v>
      </c>
      <c r="BI10" s="16" t="s">
        <v>24</v>
      </c>
      <c r="BJ10" s="16" t="s">
        <v>17</v>
      </c>
      <c r="BK10" s="16" t="s">
        <v>43</v>
      </c>
      <c r="BL10" s="16" t="s">
        <v>43</v>
      </c>
      <c r="BM10" s="16" t="s">
        <v>17</v>
      </c>
      <c r="BN10" s="16" t="s">
        <v>17</v>
      </c>
      <c r="BO10" s="16" t="s">
        <v>24</v>
      </c>
      <c r="BP10" s="16" t="s">
        <v>38</v>
      </c>
      <c r="BQ10" s="16" t="s">
        <v>43</v>
      </c>
      <c r="BR10" s="16" t="s">
        <v>17</v>
      </c>
      <c r="BS10" s="16" t="s">
        <v>17</v>
      </c>
      <c r="BT10" s="16" t="s">
        <v>38</v>
      </c>
      <c r="BU10" s="16" t="s">
        <v>38</v>
      </c>
      <c r="BV10" s="16" t="s">
        <v>38</v>
      </c>
      <c r="BW10" s="16" t="s">
        <v>34</v>
      </c>
      <c r="BX10" s="16" t="s">
        <v>43</v>
      </c>
      <c r="BY10" s="16" t="s">
        <v>43</v>
      </c>
      <c r="BZ10" s="16" t="s">
        <v>24</v>
      </c>
      <c r="CA10" s="16" t="s">
        <v>43</v>
      </c>
      <c r="CB10" s="16" t="s">
        <v>24</v>
      </c>
      <c r="CC10" s="16" t="s">
        <v>17</v>
      </c>
      <c r="CD10" s="16" t="s">
        <v>38</v>
      </c>
      <c r="CE10" s="16" t="s">
        <v>17</v>
      </c>
      <c r="CF10" s="16" t="s">
        <v>34</v>
      </c>
      <c r="CG10" s="16" t="s">
        <v>43</v>
      </c>
      <c r="CH10" s="16" t="s">
        <v>38</v>
      </c>
      <c r="CI10" s="16" t="s">
        <v>24</v>
      </c>
      <c r="CJ10" s="16" t="s">
        <v>34</v>
      </c>
      <c r="CK10" s="16" t="s">
        <v>34</v>
      </c>
      <c r="CL10" s="16" t="s">
        <v>34</v>
      </c>
      <c r="CM10" s="16" t="s">
        <v>38</v>
      </c>
      <c r="CN10" s="16" t="s">
        <v>43</v>
      </c>
      <c r="CO10" s="16" t="s">
        <v>43</v>
      </c>
      <c r="CP10" s="16" t="s">
        <v>17</v>
      </c>
      <c r="CQ10" s="16" t="s">
        <v>38</v>
      </c>
      <c r="CR10" s="16" t="s">
        <v>43</v>
      </c>
      <c r="CS10" s="16" t="s">
        <v>43</v>
      </c>
      <c r="CT10" s="16" t="s">
        <v>24</v>
      </c>
      <c r="CU10" s="16" t="s">
        <v>34</v>
      </c>
      <c r="CV10" s="16" t="s">
        <v>24</v>
      </c>
      <c r="CW10" s="16" t="s">
        <v>34</v>
      </c>
      <c r="CX10" s="16" t="s">
        <v>17</v>
      </c>
      <c r="CY10" s="16" t="s">
        <v>17</v>
      </c>
      <c r="CZ10" s="16" t="s">
        <v>17</v>
      </c>
      <c r="DA10" s="16" t="s">
        <v>34</v>
      </c>
      <c r="DB10" s="16" t="s">
        <v>43</v>
      </c>
      <c r="DC10" s="16" t="s">
        <v>38</v>
      </c>
      <c r="DD10" s="16" t="s">
        <v>43</v>
      </c>
      <c r="DE10" s="16" t="s">
        <v>38</v>
      </c>
      <c r="DF10" s="16" t="s">
        <v>43</v>
      </c>
      <c r="DG10" s="16" t="s">
        <v>34</v>
      </c>
      <c r="DH10" s="16" t="s">
        <v>17</v>
      </c>
      <c r="DI10" s="16" t="s">
        <v>34</v>
      </c>
      <c r="DJ10" s="16" t="s">
        <v>24</v>
      </c>
      <c r="DK10" s="16" t="s">
        <v>24</v>
      </c>
      <c r="DL10" s="16" t="s">
        <v>17</v>
      </c>
      <c r="DM10" s="16" t="s">
        <v>38</v>
      </c>
      <c r="DN10" s="16" t="s">
        <v>24</v>
      </c>
      <c r="DO10" s="16" t="s">
        <v>38</v>
      </c>
      <c r="DP10" s="16" t="s">
        <v>38</v>
      </c>
      <c r="DQ10" s="16" t="s">
        <v>38</v>
      </c>
      <c r="DR10" s="16" t="s">
        <v>24</v>
      </c>
      <c r="DS10" s="16" t="s">
        <v>38</v>
      </c>
      <c r="DT10" s="16" t="s">
        <v>17</v>
      </c>
      <c r="DU10" s="16" t="s">
        <v>24</v>
      </c>
      <c r="DV10" s="16" t="s">
        <v>34</v>
      </c>
      <c r="DW10" s="16" t="s">
        <v>34</v>
      </c>
      <c r="DX10" s="16" t="s">
        <v>43</v>
      </c>
      <c r="DY10" s="16" t="s">
        <v>24</v>
      </c>
      <c r="DZ10" s="16" t="s">
        <v>24</v>
      </c>
      <c r="EA10" s="16" t="s">
        <v>34</v>
      </c>
      <c r="EB10" s="16" t="s">
        <v>38</v>
      </c>
      <c r="EC10" s="16" t="s">
        <v>34</v>
      </c>
      <c r="ED10" s="16" t="s">
        <v>24</v>
      </c>
      <c r="EE10" s="16" t="s">
        <v>17</v>
      </c>
      <c r="EF10" s="16" t="s">
        <v>43</v>
      </c>
      <c r="EG10" s="16" t="s">
        <v>34</v>
      </c>
      <c r="EH10" s="16" t="s">
        <v>17</v>
      </c>
      <c r="EI10" s="16" t="s">
        <v>34</v>
      </c>
      <c r="EJ10" s="16" t="s">
        <v>43</v>
      </c>
      <c r="EK10" s="16" t="s">
        <v>17</v>
      </c>
      <c r="EL10" s="16" t="s">
        <v>38</v>
      </c>
      <c r="EM10" s="16" t="s">
        <v>38</v>
      </c>
      <c r="EN10" s="16" t="s">
        <v>17</v>
      </c>
      <c r="EO10" s="16" t="s">
        <v>43</v>
      </c>
      <c r="EP10" s="16" t="s">
        <v>43</v>
      </c>
      <c r="EQ10" s="16" t="s">
        <v>38</v>
      </c>
      <c r="ER10" s="16" t="s">
        <v>43</v>
      </c>
      <c r="ES10" s="16" t="s">
        <v>17</v>
      </c>
      <c r="ET10" s="16" t="s">
        <v>43</v>
      </c>
      <c r="EU10" s="16" t="s">
        <v>43</v>
      </c>
      <c r="EV10" s="16" t="s">
        <v>17</v>
      </c>
      <c r="EW10" s="16" t="s">
        <v>24</v>
      </c>
      <c r="EX10" s="16" t="s">
        <v>24</v>
      </c>
      <c r="EY10" s="16" t="s">
        <v>34</v>
      </c>
      <c r="EZ10" s="16" t="s">
        <v>17</v>
      </c>
      <c r="FA10" s="16" t="s">
        <v>43</v>
      </c>
      <c r="FB10" s="16" t="s">
        <v>24</v>
      </c>
      <c r="FC10" s="16" t="s">
        <v>38</v>
      </c>
      <c r="FD10" s="16" t="s">
        <v>34</v>
      </c>
      <c r="FE10" s="16" t="s">
        <v>38</v>
      </c>
      <c r="FF10" s="16" t="s">
        <v>38</v>
      </c>
      <c r="FG10" s="16" t="s">
        <v>38</v>
      </c>
      <c r="FH10" s="16" t="s">
        <v>24</v>
      </c>
      <c r="FI10" s="16" t="s">
        <v>17</v>
      </c>
      <c r="FJ10" s="16" t="s">
        <v>43</v>
      </c>
      <c r="FK10" s="16" t="s">
        <v>34</v>
      </c>
      <c r="FL10" s="16" t="s">
        <v>38</v>
      </c>
      <c r="FM10" s="16" t="s">
        <v>17</v>
      </c>
      <c r="FN10" s="16" t="s">
        <v>24</v>
      </c>
      <c r="FO10" s="16" t="s">
        <v>34</v>
      </c>
      <c r="FP10" s="16" t="s">
        <v>24</v>
      </c>
      <c r="FQ10" s="16" t="s">
        <v>34</v>
      </c>
      <c r="FR10" s="16" t="s">
        <v>34</v>
      </c>
      <c r="FS10" s="16" t="s">
        <v>24</v>
      </c>
      <c r="FT10" s="16" t="s">
        <v>24</v>
      </c>
      <c r="FU10" s="16" t="s">
        <v>24</v>
      </c>
      <c r="FV10" s="16" t="s">
        <v>38</v>
      </c>
      <c r="FW10" s="16" t="s">
        <v>17</v>
      </c>
      <c r="FX10" s="16" t="s">
        <v>38</v>
      </c>
      <c r="FY10" s="16" t="s">
        <v>17</v>
      </c>
      <c r="FZ10" s="16" t="s">
        <v>24</v>
      </c>
      <c r="GA10" s="16" t="s">
        <v>24</v>
      </c>
      <c r="GB10" s="16" t="s">
        <v>34</v>
      </c>
      <c r="GC10" s="16" t="s">
        <v>34</v>
      </c>
      <c r="GD10" s="16" t="s">
        <v>17</v>
      </c>
      <c r="GE10" s="16" t="s">
        <v>38</v>
      </c>
      <c r="GF10" s="16" t="s">
        <v>34</v>
      </c>
      <c r="GG10" s="16" t="s">
        <v>38</v>
      </c>
      <c r="GH10" s="16" t="s">
        <v>24</v>
      </c>
      <c r="GI10" s="16" t="s">
        <v>17</v>
      </c>
      <c r="GJ10" s="16" t="s">
        <v>34</v>
      </c>
      <c r="GK10" s="16" t="s">
        <v>24</v>
      </c>
      <c r="GL10" s="16" t="s">
        <v>43</v>
      </c>
      <c r="GM10" s="16" t="s">
        <v>34</v>
      </c>
      <c r="GN10" s="16" t="s">
        <v>24</v>
      </c>
      <c r="GO10" s="16" t="s">
        <v>43</v>
      </c>
      <c r="GP10" s="16" t="s">
        <v>17</v>
      </c>
      <c r="GQ10" s="16" t="s">
        <v>17</v>
      </c>
      <c r="GR10" s="16" t="s">
        <v>34</v>
      </c>
      <c r="GS10" s="16" t="s">
        <v>38</v>
      </c>
    </row>
    <row r="11" spans="1:201" x14ac:dyDescent="0.3">
      <c r="A11" s="15" t="s">
        <v>6</v>
      </c>
      <c r="B11" s="16" t="s">
        <v>18</v>
      </c>
      <c r="C11" s="16" t="s">
        <v>18</v>
      </c>
      <c r="D11" s="16" t="s">
        <v>29</v>
      </c>
      <c r="E11" s="16" t="s">
        <v>18</v>
      </c>
      <c r="F11" s="16" t="s">
        <v>35</v>
      </c>
      <c r="G11" s="16" t="s">
        <v>29</v>
      </c>
      <c r="H11" s="16" t="s">
        <v>18</v>
      </c>
      <c r="I11" s="16" t="s">
        <v>35</v>
      </c>
      <c r="J11" s="16" t="s">
        <v>18</v>
      </c>
      <c r="K11" s="16" t="s">
        <v>29</v>
      </c>
      <c r="L11" s="16" t="s">
        <v>35</v>
      </c>
      <c r="M11" s="16" t="s">
        <v>35</v>
      </c>
      <c r="N11" s="16" t="s">
        <v>18</v>
      </c>
      <c r="O11" s="16" t="s">
        <v>29</v>
      </c>
      <c r="P11" s="16" t="s">
        <v>35</v>
      </c>
      <c r="Q11" s="16" t="s">
        <v>29</v>
      </c>
      <c r="R11" s="16" t="s">
        <v>18</v>
      </c>
      <c r="S11" s="16" t="s">
        <v>18</v>
      </c>
      <c r="T11" s="16" t="s">
        <v>18</v>
      </c>
      <c r="U11" s="16" t="s">
        <v>18</v>
      </c>
      <c r="V11" s="16" t="s">
        <v>35</v>
      </c>
      <c r="W11" s="16" t="s">
        <v>18</v>
      </c>
      <c r="X11" s="16" t="s">
        <v>29</v>
      </c>
      <c r="Y11" s="16" t="s">
        <v>29</v>
      </c>
      <c r="Z11" s="16" t="s">
        <v>35</v>
      </c>
      <c r="AA11" s="16" t="s">
        <v>18</v>
      </c>
      <c r="AB11" s="16" t="s">
        <v>35</v>
      </c>
      <c r="AC11" s="16" t="s">
        <v>18</v>
      </c>
      <c r="AD11" s="16" t="s">
        <v>29</v>
      </c>
      <c r="AE11" s="16" t="s">
        <v>35</v>
      </c>
      <c r="AF11" s="16" t="s">
        <v>18</v>
      </c>
      <c r="AG11" s="16" t="s">
        <v>35</v>
      </c>
      <c r="AH11" s="16" t="s">
        <v>35</v>
      </c>
      <c r="AI11" s="16" t="s">
        <v>18</v>
      </c>
      <c r="AJ11" s="16" t="s">
        <v>35</v>
      </c>
      <c r="AK11" s="16" t="s">
        <v>35</v>
      </c>
      <c r="AL11" s="16" t="s">
        <v>35</v>
      </c>
      <c r="AM11" s="16" t="s">
        <v>29</v>
      </c>
      <c r="AN11" s="16" t="s">
        <v>29</v>
      </c>
      <c r="AO11" s="16" t="s">
        <v>35</v>
      </c>
      <c r="AP11" s="16" t="s">
        <v>29</v>
      </c>
      <c r="AQ11" s="16" t="s">
        <v>35</v>
      </c>
      <c r="AR11" s="16" t="s">
        <v>35</v>
      </c>
      <c r="AS11" s="16" t="s">
        <v>35</v>
      </c>
      <c r="AT11" s="16" t="s">
        <v>29</v>
      </c>
      <c r="AU11" s="16" t="s">
        <v>35</v>
      </c>
      <c r="AV11" s="16" t="s">
        <v>35</v>
      </c>
      <c r="AW11" s="16" t="s">
        <v>29</v>
      </c>
      <c r="AX11" s="16" t="s">
        <v>29</v>
      </c>
      <c r="AY11" s="16" t="s">
        <v>29</v>
      </c>
      <c r="AZ11" s="16" t="s">
        <v>29</v>
      </c>
      <c r="BA11" s="16" t="s">
        <v>18</v>
      </c>
      <c r="BB11" s="16" t="s">
        <v>35</v>
      </c>
      <c r="BC11" s="16" t="s">
        <v>29</v>
      </c>
      <c r="BD11" s="16" t="s">
        <v>18</v>
      </c>
      <c r="BE11" s="16" t="s">
        <v>18</v>
      </c>
      <c r="BF11" s="16" t="s">
        <v>35</v>
      </c>
      <c r="BG11" s="16" t="s">
        <v>35</v>
      </c>
      <c r="BH11" s="16" t="s">
        <v>18</v>
      </c>
      <c r="BI11" s="16" t="s">
        <v>18</v>
      </c>
      <c r="BJ11" s="16" t="s">
        <v>18</v>
      </c>
      <c r="BK11" s="16" t="s">
        <v>29</v>
      </c>
      <c r="BL11" s="16" t="s">
        <v>29</v>
      </c>
      <c r="BM11" s="16" t="s">
        <v>18</v>
      </c>
      <c r="BN11" s="16" t="s">
        <v>29</v>
      </c>
      <c r="BO11" s="16" t="s">
        <v>35</v>
      </c>
      <c r="BP11" s="16" t="s">
        <v>18</v>
      </c>
      <c r="BQ11" s="16" t="s">
        <v>18</v>
      </c>
      <c r="BR11" s="16" t="s">
        <v>35</v>
      </c>
      <c r="BS11" s="16" t="s">
        <v>29</v>
      </c>
      <c r="BT11" s="16" t="s">
        <v>29</v>
      </c>
      <c r="BU11" s="16" t="s">
        <v>18</v>
      </c>
      <c r="BV11" s="16" t="s">
        <v>35</v>
      </c>
      <c r="BW11" s="16" t="s">
        <v>18</v>
      </c>
      <c r="BX11" s="16" t="s">
        <v>29</v>
      </c>
      <c r="BY11" s="16" t="s">
        <v>29</v>
      </c>
      <c r="BZ11" s="16" t="s">
        <v>18</v>
      </c>
      <c r="CA11" s="16" t="s">
        <v>29</v>
      </c>
      <c r="CB11" s="16" t="s">
        <v>35</v>
      </c>
      <c r="CC11" s="16" t="s">
        <v>18</v>
      </c>
      <c r="CD11" s="16" t="s">
        <v>35</v>
      </c>
      <c r="CE11" s="16" t="s">
        <v>18</v>
      </c>
      <c r="CF11" s="16" t="s">
        <v>35</v>
      </c>
      <c r="CG11" s="16" t="s">
        <v>35</v>
      </c>
      <c r="CH11" s="16" t="s">
        <v>18</v>
      </c>
      <c r="CI11" s="16" t="s">
        <v>29</v>
      </c>
      <c r="CJ11" s="16" t="s">
        <v>18</v>
      </c>
      <c r="CK11" s="16" t="s">
        <v>29</v>
      </c>
      <c r="CL11" s="16" t="s">
        <v>29</v>
      </c>
      <c r="CM11" s="16" t="s">
        <v>29</v>
      </c>
      <c r="CN11" s="16" t="s">
        <v>18</v>
      </c>
      <c r="CO11" s="16" t="s">
        <v>29</v>
      </c>
      <c r="CP11" s="16" t="s">
        <v>35</v>
      </c>
      <c r="CQ11" s="16" t="s">
        <v>18</v>
      </c>
      <c r="CR11" s="16" t="s">
        <v>35</v>
      </c>
      <c r="CS11" s="16" t="s">
        <v>18</v>
      </c>
      <c r="CT11" s="16" t="s">
        <v>18</v>
      </c>
      <c r="CU11" s="16" t="s">
        <v>18</v>
      </c>
      <c r="CV11" s="16" t="s">
        <v>18</v>
      </c>
      <c r="CW11" s="16" t="s">
        <v>29</v>
      </c>
      <c r="CX11" s="16" t="s">
        <v>35</v>
      </c>
      <c r="CY11" s="16" t="s">
        <v>29</v>
      </c>
      <c r="CZ11" s="16" t="s">
        <v>29</v>
      </c>
      <c r="DA11" s="16" t="s">
        <v>35</v>
      </c>
      <c r="DB11" s="16" t="s">
        <v>18</v>
      </c>
      <c r="DC11" s="16" t="s">
        <v>29</v>
      </c>
      <c r="DD11" s="16" t="s">
        <v>29</v>
      </c>
      <c r="DE11" s="16" t="s">
        <v>35</v>
      </c>
      <c r="DF11" s="16" t="s">
        <v>18</v>
      </c>
      <c r="DG11" s="16" t="s">
        <v>35</v>
      </c>
      <c r="DH11" s="16" t="s">
        <v>29</v>
      </c>
      <c r="DI11" s="16" t="s">
        <v>29</v>
      </c>
      <c r="DJ11" s="16" t="s">
        <v>29</v>
      </c>
      <c r="DK11" s="16" t="s">
        <v>29</v>
      </c>
      <c r="DL11" s="16" t="s">
        <v>35</v>
      </c>
      <c r="DM11" s="16" t="s">
        <v>18</v>
      </c>
      <c r="DN11" s="16" t="s">
        <v>18</v>
      </c>
      <c r="DO11" s="16" t="s">
        <v>35</v>
      </c>
      <c r="DP11" s="16" t="s">
        <v>18</v>
      </c>
      <c r="DQ11" s="16" t="s">
        <v>18</v>
      </c>
      <c r="DR11" s="16" t="s">
        <v>29</v>
      </c>
      <c r="DS11" s="16" t="s">
        <v>18</v>
      </c>
      <c r="DT11" s="16" t="s">
        <v>35</v>
      </c>
      <c r="DU11" s="16" t="s">
        <v>18</v>
      </c>
      <c r="DV11" s="16" t="s">
        <v>35</v>
      </c>
      <c r="DW11" s="16" t="s">
        <v>35</v>
      </c>
      <c r="DX11" s="16" t="s">
        <v>29</v>
      </c>
      <c r="DY11" s="16" t="s">
        <v>18</v>
      </c>
      <c r="DZ11" s="16" t="s">
        <v>29</v>
      </c>
      <c r="EA11" s="16" t="s">
        <v>35</v>
      </c>
      <c r="EB11" s="16" t="s">
        <v>35</v>
      </c>
      <c r="EC11" s="16" t="s">
        <v>35</v>
      </c>
      <c r="ED11" s="16" t="s">
        <v>29</v>
      </c>
      <c r="EE11" s="16" t="s">
        <v>18</v>
      </c>
      <c r="EF11" s="16" t="s">
        <v>29</v>
      </c>
      <c r="EG11" s="16" t="s">
        <v>18</v>
      </c>
      <c r="EH11" s="16" t="s">
        <v>18</v>
      </c>
      <c r="EI11" s="16" t="s">
        <v>29</v>
      </c>
      <c r="EJ11" s="16" t="s">
        <v>35</v>
      </c>
      <c r="EK11" s="16" t="s">
        <v>18</v>
      </c>
      <c r="EL11" s="16" t="s">
        <v>29</v>
      </c>
      <c r="EM11" s="16" t="s">
        <v>18</v>
      </c>
      <c r="EN11" s="16" t="s">
        <v>35</v>
      </c>
      <c r="EO11" s="16" t="s">
        <v>18</v>
      </c>
      <c r="EP11" s="16" t="s">
        <v>29</v>
      </c>
      <c r="EQ11" s="16" t="s">
        <v>29</v>
      </c>
      <c r="ER11" s="16" t="s">
        <v>18</v>
      </c>
      <c r="ES11" s="16" t="s">
        <v>18</v>
      </c>
      <c r="ET11" s="16" t="s">
        <v>29</v>
      </c>
      <c r="EU11" s="16" t="s">
        <v>35</v>
      </c>
      <c r="EV11" s="16" t="s">
        <v>35</v>
      </c>
      <c r="EW11" s="16" t="s">
        <v>35</v>
      </c>
      <c r="EX11" s="16" t="s">
        <v>29</v>
      </c>
      <c r="EY11" s="16" t="s">
        <v>35</v>
      </c>
      <c r="EZ11" s="16" t="s">
        <v>18</v>
      </c>
      <c r="FA11" s="16" t="s">
        <v>29</v>
      </c>
      <c r="FB11" s="16" t="s">
        <v>18</v>
      </c>
      <c r="FC11" s="16" t="s">
        <v>35</v>
      </c>
      <c r="FD11" s="16" t="s">
        <v>29</v>
      </c>
      <c r="FE11" s="16" t="s">
        <v>35</v>
      </c>
      <c r="FF11" s="16" t="s">
        <v>35</v>
      </c>
      <c r="FG11" s="16" t="s">
        <v>35</v>
      </c>
      <c r="FH11" s="16" t="s">
        <v>29</v>
      </c>
      <c r="FI11" s="16" t="s">
        <v>18</v>
      </c>
      <c r="FJ11" s="16" t="s">
        <v>29</v>
      </c>
      <c r="FK11" s="16" t="s">
        <v>35</v>
      </c>
      <c r="FL11" s="16" t="s">
        <v>29</v>
      </c>
      <c r="FM11" s="16" t="s">
        <v>18</v>
      </c>
      <c r="FN11" s="16" t="s">
        <v>18</v>
      </c>
      <c r="FO11" s="16" t="s">
        <v>18</v>
      </c>
      <c r="FP11" s="16" t="s">
        <v>29</v>
      </c>
      <c r="FQ11" s="16" t="s">
        <v>29</v>
      </c>
      <c r="FR11" s="16" t="s">
        <v>18</v>
      </c>
      <c r="FS11" s="16" t="s">
        <v>18</v>
      </c>
      <c r="FT11" s="16" t="s">
        <v>18</v>
      </c>
      <c r="FU11" s="16" t="s">
        <v>18</v>
      </c>
      <c r="FV11" s="16" t="s">
        <v>29</v>
      </c>
      <c r="FW11" s="16" t="s">
        <v>29</v>
      </c>
      <c r="FX11" s="16" t="s">
        <v>29</v>
      </c>
      <c r="FY11" s="16" t="s">
        <v>29</v>
      </c>
      <c r="FZ11" s="16" t="s">
        <v>18</v>
      </c>
      <c r="GA11" s="16" t="s">
        <v>35</v>
      </c>
      <c r="GB11" s="16" t="s">
        <v>35</v>
      </c>
      <c r="GC11" s="16" t="s">
        <v>35</v>
      </c>
      <c r="GD11" s="16" t="s">
        <v>29</v>
      </c>
      <c r="GE11" s="16" t="s">
        <v>18</v>
      </c>
      <c r="GF11" s="16" t="s">
        <v>18</v>
      </c>
      <c r="GG11" s="16" t="s">
        <v>35</v>
      </c>
      <c r="GH11" s="16" t="s">
        <v>29</v>
      </c>
      <c r="GI11" s="16" t="s">
        <v>18</v>
      </c>
      <c r="GJ11" s="16" t="s">
        <v>35</v>
      </c>
      <c r="GK11" s="16" t="s">
        <v>29</v>
      </c>
      <c r="GL11" s="16" t="s">
        <v>29</v>
      </c>
      <c r="GM11" s="16" t="s">
        <v>29</v>
      </c>
      <c r="GN11" s="16" t="s">
        <v>18</v>
      </c>
      <c r="GO11" s="16" t="s">
        <v>35</v>
      </c>
      <c r="GP11" s="16" t="s">
        <v>35</v>
      </c>
      <c r="GQ11" s="16" t="s">
        <v>29</v>
      </c>
      <c r="GR11" s="16" t="s">
        <v>18</v>
      </c>
      <c r="GS11" s="16" t="s">
        <v>18</v>
      </c>
    </row>
    <row r="12" spans="1:201" x14ac:dyDescent="0.3">
      <c r="A12" s="15" t="s">
        <v>7</v>
      </c>
      <c r="B12" s="16" t="s">
        <v>19</v>
      </c>
      <c r="C12" s="16" t="s">
        <v>19</v>
      </c>
      <c r="D12" s="16" t="s">
        <v>30</v>
      </c>
      <c r="E12" s="16" t="s">
        <v>30</v>
      </c>
      <c r="F12" s="16" t="s">
        <v>19</v>
      </c>
      <c r="G12" s="16" t="s">
        <v>39</v>
      </c>
      <c r="H12" s="16" t="s">
        <v>39</v>
      </c>
      <c r="I12" s="16" t="s">
        <v>30</v>
      </c>
      <c r="J12" s="16" t="s">
        <v>30</v>
      </c>
      <c r="K12" s="16" t="s">
        <v>47</v>
      </c>
      <c r="L12" s="16" t="s">
        <v>39</v>
      </c>
      <c r="M12" s="16" t="s">
        <v>52</v>
      </c>
      <c r="N12" s="16" t="s">
        <v>52</v>
      </c>
      <c r="O12" s="16" t="s">
        <v>30</v>
      </c>
      <c r="P12" s="16" t="s">
        <v>58</v>
      </c>
      <c r="Q12" s="16" t="s">
        <v>52</v>
      </c>
      <c r="R12" s="16" t="s">
        <v>58</v>
      </c>
      <c r="S12" s="16" t="s">
        <v>19</v>
      </c>
      <c r="T12" s="16" t="s">
        <v>19</v>
      </c>
      <c r="U12" s="16" t="s">
        <v>52</v>
      </c>
      <c r="V12" s="16" t="s">
        <v>39</v>
      </c>
      <c r="W12" s="16" t="s">
        <v>39</v>
      </c>
      <c r="X12" s="16" t="s">
        <v>58</v>
      </c>
      <c r="Y12" s="16" t="s">
        <v>39</v>
      </c>
      <c r="Z12" s="16" t="s">
        <v>19</v>
      </c>
      <c r="AA12" s="16" t="s">
        <v>58</v>
      </c>
      <c r="AB12" s="16" t="s">
        <v>30</v>
      </c>
      <c r="AC12" s="16" t="s">
        <v>52</v>
      </c>
      <c r="AD12" s="16" t="s">
        <v>58</v>
      </c>
      <c r="AE12" s="16" t="s">
        <v>52</v>
      </c>
      <c r="AF12" s="16" t="s">
        <v>52</v>
      </c>
      <c r="AG12" s="16" t="s">
        <v>52</v>
      </c>
      <c r="AH12" s="16" t="s">
        <v>30</v>
      </c>
      <c r="AI12" s="16" t="s">
        <v>52</v>
      </c>
      <c r="AJ12" s="16" t="s">
        <v>30</v>
      </c>
      <c r="AK12" s="16" t="s">
        <v>52</v>
      </c>
      <c r="AL12" s="16" t="s">
        <v>19</v>
      </c>
      <c r="AM12" s="16" t="s">
        <v>19</v>
      </c>
      <c r="AN12" s="16" t="s">
        <v>52</v>
      </c>
      <c r="AO12" s="16" t="s">
        <v>19</v>
      </c>
      <c r="AP12" s="16" t="s">
        <v>39</v>
      </c>
      <c r="AQ12" s="16" t="s">
        <v>47</v>
      </c>
      <c r="AR12" s="16" t="s">
        <v>39</v>
      </c>
      <c r="AS12" s="16" t="s">
        <v>39</v>
      </c>
      <c r="AT12" s="16" t="s">
        <v>39</v>
      </c>
      <c r="AU12" s="16" t="s">
        <v>30</v>
      </c>
      <c r="AV12" s="16" t="s">
        <v>30</v>
      </c>
      <c r="AW12" s="16" t="s">
        <v>52</v>
      </c>
      <c r="AX12" s="16" t="s">
        <v>39</v>
      </c>
      <c r="AY12" s="16" t="s">
        <v>30</v>
      </c>
      <c r="AZ12" s="16" t="s">
        <v>58</v>
      </c>
      <c r="BA12" s="16" t="s">
        <v>52</v>
      </c>
      <c r="BB12" s="16" t="s">
        <v>30</v>
      </c>
      <c r="BC12" s="16" t="s">
        <v>52</v>
      </c>
      <c r="BD12" s="16" t="s">
        <v>52</v>
      </c>
      <c r="BE12" s="16" t="s">
        <v>39</v>
      </c>
      <c r="BF12" s="16" t="s">
        <v>58</v>
      </c>
      <c r="BG12" s="16" t="s">
        <v>47</v>
      </c>
      <c r="BH12" s="16" t="s">
        <v>30</v>
      </c>
      <c r="BI12" s="16" t="s">
        <v>19</v>
      </c>
      <c r="BJ12" s="16" t="s">
        <v>39</v>
      </c>
      <c r="BK12" s="16" t="s">
        <v>58</v>
      </c>
      <c r="BL12" s="16" t="s">
        <v>39</v>
      </c>
      <c r="BM12" s="16" t="s">
        <v>30</v>
      </c>
      <c r="BN12" s="16" t="s">
        <v>39</v>
      </c>
      <c r="BO12" s="16" t="s">
        <v>47</v>
      </c>
      <c r="BP12" s="16" t="s">
        <v>47</v>
      </c>
      <c r="BQ12" s="16" t="s">
        <v>39</v>
      </c>
      <c r="BR12" s="16" t="s">
        <v>19</v>
      </c>
      <c r="BS12" s="16" t="s">
        <v>52</v>
      </c>
      <c r="BT12" s="16" t="s">
        <v>47</v>
      </c>
      <c r="BU12" s="16" t="s">
        <v>47</v>
      </c>
      <c r="BV12" s="16" t="s">
        <v>58</v>
      </c>
      <c r="BW12" s="16" t="s">
        <v>58</v>
      </c>
      <c r="BX12" s="16" t="s">
        <v>47</v>
      </c>
      <c r="BY12" s="16" t="s">
        <v>30</v>
      </c>
      <c r="BZ12" s="16" t="s">
        <v>19</v>
      </c>
      <c r="CA12" s="16" t="s">
        <v>30</v>
      </c>
      <c r="CB12" s="16" t="s">
        <v>47</v>
      </c>
      <c r="CC12" s="16" t="s">
        <v>19</v>
      </c>
      <c r="CD12" s="16" t="s">
        <v>52</v>
      </c>
      <c r="CE12" s="16" t="s">
        <v>39</v>
      </c>
      <c r="CF12" s="16" t="s">
        <v>19</v>
      </c>
      <c r="CG12" s="16" t="s">
        <v>39</v>
      </c>
      <c r="CH12" s="16" t="s">
        <v>58</v>
      </c>
      <c r="CI12" s="16" t="s">
        <v>47</v>
      </c>
      <c r="CJ12" s="16" t="s">
        <v>52</v>
      </c>
      <c r="CK12" s="16" t="s">
        <v>19</v>
      </c>
      <c r="CL12" s="16" t="s">
        <v>30</v>
      </c>
      <c r="CM12" s="16" t="s">
        <v>58</v>
      </c>
      <c r="CN12" s="16" t="s">
        <v>39</v>
      </c>
      <c r="CO12" s="16" t="s">
        <v>19</v>
      </c>
      <c r="CP12" s="16" t="s">
        <v>47</v>
      </c>
      <c r="CQ12" s="16" t="s">
        <v>52</v>
      </c>
      <c r="CR12" s="16" t="s">
        <v>30</v>
      </c>
      <c r="CS12" s="16" t="s">
        <v>58</v>
      </c>
      <c r="CT12" s="16" t="s">
        <v>58</v>
      </c>
      <c r="CU12" s="16" t="s">
        <v>30</v>
      </c>
      <c r="CV12" s="16" t="s">
        <v>19</v>
      </c>
      <c r="CW12" s="16" t="s">
        <v>30</v>
      </c>
      <c r="CX12" s="16" t="s">
        <v>19</v>
      </c>
      <c r="CY12" s="16" t="s">
        <v>19</v>
      </c>
      <c r="CZ12" s="16" t="s">
        <v>58</v>
      </c>
      <c r="DA12" s="16" t="s">
        <v>47</v>
      </c>
      <c r="DB12" s="16" t="s">
        <v>30</v>
      </c>
      <c r="DC12" s="16" t="s">
        <v>39</v>
      </c>
      <c r="DD12" s="16" t="s">
        <v>47</v>
      </c>
      <c r="DE12" s="16" t="s">
        <v>58</v>
      </c>
      <c r="DF12" s="16" t="s">
        <v>58</v>
      </c>
      <c r="DG12" s="16" t="s">
        <v>39</v>
      </c>
      <c r="DH12" s="16" t="s">
        <v>52</v>
      </c>
      <c r="DI12" s="16" t="s">
        <v>47</v>
      </c>
      <c r="DJ12" s="16" t="s">
        <v>47</v>
      </c>
      <c r="DK12" s="16" t="s">
        <v>39</v>
      </c>
      <c r="DL12" s="16" t="s">
        <v>52</v>
      </c>
      <c r="DM12" s="16" t="s">
        <v>58</v>
      </c>
      <c r="DN12" s="16" t="s">
        <v>19</v>
      </c>
      <c r="DO12" s="16" t="s">
        <v>30</v>
      </c>
      <c r="DP12" s="16" t="s">
        <v>47</v>
      </c>
      <c r="DQ12" s="16" t="s">
        <v>52</v>
      </c>
      <c r="DR12" s="16" t="s">
        <v>30</v>
      </c>
      <c r="DS12" s="16" t="s">
        <v>30</v>
      </c>
      <c r="DT12" s="16" t="s">
        <v>58</v>
      </c>
      <c r="DU12" s="16" t="s">
        <v>30</v>
      </c>
      <c r="DV12" s="16" t="s">
        <v>47</v>
      </c>
      <c r="DW12" s="16" t="s">
        <v>30</v>
      </c>
      <c r="DX12" s="16" t="s">
        <v>58</v>
      </c>
      <c r="DY12" s="16" t="s">
        <v>39</v>
      </c>
      <c r="DZ12" s="16" t="s">
        <v>19</v>
      </c>
      <c r="EA12" s="16" t="s">
        <v>52</v>
      </c>
      <c r="EB12" s="16" t="s">
        <v>52</v>
      </c>
      <c r="EC12" s="16" t="s">
        <v>30</v>
      </c>
      <c r="ED12" s="16" t="s">
        <v>47</v>
      </c>
      <c r="EE12" s="16" t="s">
        <v>47</v>
      </c>
      <c r="EF12" s="16" t="s">
        <v>19</v>
      </c>
      <c r="EG12" s="16" t="s">
        <v>47</v>
      </c>
      <c r="EH12" s="16" t="s">
        <v>47</v>
      </c>
      <c r="EI12" s="16" t="s">
        <v>39</v>
      </c>
      <c r="EJ12" s="16" t="s">
        <v>19</v>
      </c>
      <c r="EK12" s="16" t="s">
        <v>19</v>
      </c>
      <c r="EL12" s="16" t="s">
        <v>52</v>
      </c>
      <c r="EM12" s="16" t="s">
        <v>19</v>
      </c>
      <c r="EN12" s="16" t="s">
        <v>19</v>
      </c>
      <c r="EO12" s="16" t="s">
        <v>47</v>
      </c>
      <c r="EP12" s="16" t="s">
        <v>19</v>
      </c>
      <c r="EQ12" s="16" t="s">
        <v>47</v>
      </c>
      <c r="ER12" s="16" t="s">
        <v>19</v>
      </c>
      <c r="ES12" s="16" t="s">
        <v>30</v>
      </c>
      <c r="ET12" s="16" t="s">
        <v>47</v>
      </c>
      <c r="EU12" s="16" t="s">
        <v>47</v>
      </c>
      <c r="EV12" s="16" t="s">
        <v>47</v>
      </c>
      <c r="EW12" s="16" t="s">
        <v>52</v>
      </c>
      <c r="EX12" s="16" t="s">
        <v>39</v>
      </c>
      <c r="EY12" s="16" t="s">
        <v>19</v>
      </c>
      <c r="EZ12" s="16" t="s">
        <v>19</v>
      </c>
      <c r="FA12" s="16" t="s">
        <v>39</v>
      </c>
      <c r="FB12" s="16" t="s">
        <v>39</v>
      </c>
      <c r="FC12" s="16" t="s">
        <v>47</v>
      </c>
      <c r="FD12" s="16" t="s">
        <v>52</v>
      </c>
      <c r="FE12" s="16" t="s">
        <v>39</v>
      </c>
      <c r="FF12" s="16" t="s">
        <v>47</v>
      </c>
      <c r="FG12" s="16" t="s">
        <v>39</v>
      </c>
      <c r="FH12" s="16" t="s">
        <v>52</v>
      </c>
      <c r="FI12" s="16" t="s">
        <v>58</v>
      </c>
      <c r="FJ12" s="16" t="s">
        <v>58</v>
      </c>
      <c r="FK12" s="16" t="s">
        <v>58</v>
      </c>
      <c r="FL12" s="16" t="s">
        <v>47</v>
      </c>
      <c r="FM12" s="16" t="s">
        <v>39</v>
      </c>
      <c r="FN12" s="16" t="s">
        <v>19</v>
      </c>
      <c r="FO12" s="16" t="s">
        <v>52</v>
      </c>
      <c r="FP12" s="16" t="s">
        <v>52</v>
      </c>
      <c r="FQ12" s="16" t="s">
        <v>39</v>
      </c>
      <c r="FR12" s="16" t="s">
        <v>19</v>
      </c>
      <c r="FS12" s="16" t="s">
        <v>39</v>
      </c>
      <c r="FT12" s="16" t="s">
        <v>52</v>
      </c>
      <c r="FU12" s="16" t="s">
        <v>58</v>
      </c>
      <c r="FV12" s="16" t="s">
        <v>19</v>
      </c>
      <c r="FW12" s="16" t="s">
        <v>39</v>
      </c>
      <c r="FX12" s="16" t="s">
        <v>39</v>
      </c>
      <c r="FY12" s="16" t="s">
        <v>58</v>
      </c>
      <c r="FZ12" s="16" t="s">
        <v>39</v>
      </c>
      <c r="GA12" s="16" t="s">
        <v>58</v>
      </c>
      <c r="GB12" s="16" t="s">
        <v>19</v>
      </c>
      <c r="GC12" s="16" t="s">
        <v>47</v>
      </c>
      <c r="GD12" s="16" t="s">
        <v>19</v>
      </c>
      <c r="GE12" s="16" t="s">
        <v>39</v>
      </c>
      <c r="GF12" s="16" t="s">
        <v>47</v>
      </c>
      <c r="GG12" s="16" t="s">
        <v>58</v>
      </c>
      <c r="GH12" s="16" t="s">
        <v>30</v>
      </c>
      <c r="GI12" s="16" t="s">
        <v>19</v>
      </c>
      <c r="GJ12" s="16" t="s">
        <v>52</v>
      </c>
      <c r="GK12" s="16" t="s">
        <v>52</v>
      </c>
      <c r="GL12" s="16" t="s">
        <v>39</v>
      </c>
      <c r="GM12" s="16" t="s">
        <v>58</v>
      </c>
      <c r="GN12" s="16" t="s">
        <v>30</v>
      </c>
      <c r="GO12" s="16" t="s">
        <v>19</v>
      </c>
      <c r="GP12" s="16" t="s">
        <v>58</v>
      </c>
      <c r="GQ12" s="16" t="s">
        <v>47</v>
      </c>
      <c r="GR12" s="16" t="s">
        <v>58</v>
      </c>
      <c r="GS12" s="16" t="s">
        <v>52</v>
      </c>
    </row>
    <row r="13" spans="1:201" x14ac:dyDescent="0.3">
      <c r="A13" s="15" t="s">
        <v>8</v>
      </c>
      <c r="B13" s="16" t="s">
        <v>20</v>
      </c>
      <c r="C13" s="16" t="s">
        <v>25</v>
      </c>
      <c r="D13" s="16" t="s">
        <v>25</v>
      </c>
      <c r="E13" s="16" t="s">
        <v>20</v>
      </c>
      <c r="F13" s="16" t="s">
        <v>25</v>
      </c>
      <c r="G13" s="16" t="s">
        <v>25</v>
      </c>
      <c r="H13" s="16" t="s">
        <v>20</v>
      </c>
      <c r="I13" s="16" t="s">
        <v>20</v>
      </c>
      <c r="J13" s="16" t="s">
        <v>25</v>
      </c>
      <c r="K13" s="16" t="s">
        <v>25</v>
      </c>
      <c r="L13" s="16" t="s">
        <v>25</v>
      </c>
      <c r="M13" s="16" t="s">
        <v>25</v>
      </c>
      <c r="N13" s="16" t="s">
        <v>25</v>
      </c>
      <c r="O13" s="16" t="s">
        <v>56</v>
      </c>
      <c r="P13" s="16" t="s">
        <v>56</v>
      </c>
      <c r="Q13" s="16" t="s">
        <v>56</v>
      </c>
      <c r="R13" s="16" t="s">
        <v>25</v>
      </c>
      <c r="S13" s="16" t="s">
        <v>56</v>
      </c>
      <c r="T13" s="16" t="s">
        <v>25</v>
      </c>
      <c r="U13" s="16" t="s">
        <v>20</v>
      </c>
      <c r="V13" s="16" t="s">
        <v>56</v>
      </c>
      <c r="W13" s="16" t="s">
        <v>20</v>
      </c>
      <c r="X13" s="16" t="s">
        <v>56</v>
      </c>
      <c r="Y13" s="16" t="s">
        <v>56</v>
      </c>
      <c r="Z13" s="16" t="s">
        <v>25</v>
      </c>
      <c r="AA13" s="16" t="s">
        <v>20</v>
      </c>
      <c r="AB13" s="16" t="s">
        <v>25</v>
      </c>
      <c r="AC13" s="16" t="s">
        <v>56</v>
      </c>
      <c r="AD13" s="16" t="s">
        <v>20</v>
      </c>
      <c r="AE13" s="16" t="s">
        <v>20</v>
      </c>
      <c r="AF13" s="16" t="s">
        <v>56</v>
      </c>
      <c r="AG13" s="16" t="s">
        <v>20</v>
      </c>
      <c r="AH13" s="16" t="s">
        <v>25</v>
      </c>
      <c r="AI13" s="16" t="s">
        <v>56</v>
      </c>
      <c r="AJ13" s="16" t="s">
        <v>25</v>
      </c>
      <c r="AK13" s="16" t="s">
        <v>20</v>
      </c>
      <c r="AL13" s="16" t="s">
        <v>20</v>
      </c>
      <c r="AM13" s="16" t="s">
        <v>20</v>
      </c>
      <c r="AN13" s="16" t="s">
        <v>25</v>
      </c>
      <c r="AO13" s="16" t="s">
        <v>25</v>
      </c>
      <c r="AP13" s="16" t="s">
        <v>56</v>
      </c>
      <c r="AQ13" s="16" t="s">
        <v>20</v>
      </c>
      <c r="AR13" s="16" t="s">
        <v>20</v>
      </c>
      <c r="AS13" s="16" t="s">
        <v>20</v>
      </c>
      <c r="AT13" s="16" t="s">
        <v>25</v>
      </c>
      <c r="AU13" s="16" t="s">
        <v>20</v>
      </c>
      <c r="AV13" s="16" t="s">
        <v>20</v>
      </c>
      <c r="AW13" s="16" t="s">
        <v>56</v>
      </c>
      <c r="AX13" s="16" t="s">
        <v>56</v>
      </c>
      <c r="AY13" s="16" t="s">
        <v>25</v>
      </c>
      <c r="AZ13" s="16" t="s">
        <v>56</v>
      </c>
      <c r="BA13" s="16" t="s">
        <v>25</v>
      </c>
      <c r="BB13" s="16" t="s">
        <v>56</v>
      </c>
      <c r="BC13" s="16" t="s">
        <v>56</v>
      </c>
      <c r="BD13" s="16" t="s">
        <v>56</v>
      </c>
      <c r="BE13" s="16" t="s">
        <v>56</v>
      </c>
      <c r="BF13" s="16" t="s">
        <v>20</v>
      </c>
      <c r="BG13" s="16" t="s">
        <v>20</v>
      </c>
      <c r="BH13" s="16" t="s">
        <v>20</v>
      </c>
      <c r="BI13" s="16" t="s">
        <v>20</v>
      </c>
      <c r="BJ13" s="16" t="s">
        <v>56</v>
      </c>
      <c r="BK13" s="16" t="s">
        <v>20</v>
      </c>
      <c r="BL13" s="16" t="s">
        <v>20</v>
      </c>
      <c r="BM13" s="16" t="s">
        <v>56</v>
      </c>
      <c r="BN13" s="16" t="s">
        <v>25</v>
      </c>
      <c r="BO13" s="16" t="s">
        <v>56</v>
      </c>
      <c r="BP13" s="16" t="s">
        <v>56</v>
      </c>
      <c r="BQ13" s="16" t="s">
        <v>25</v>
      </c>
      <c r="BR13" s="16" t="s">
        <v>20</v>
      </c>
      <c r="BS13" s="16" t="s">
        <v>20</v>
      </c>
      <c r="BT13" s="16" t="s">
        <v>56</v>
      </c>
      <c r="BU13" s="16" t="s">
        <v>20</v>
      </c>
      <c r="BV13" s="16" t="s">
        <v>56</v>
      </c>
      <c r="BW13" s="16" t="s">
        <v>56</v>
      </c>
      <c r="BX13" s="16" t="s">
        <v>20</v>
      </c>
      <c r="BY13" s="16" t="s">
        <v>20</v>
      </c>
      <c r="BZ13" s="16" t="s">
        <v>20</v>
      </c>
      <c r="CA13" s="16" t="s">
        <v>56</v>
      </c>
      <c r="CB13" s="16" t="s">
        <v>20</v>
      </c>
      <c r="CC13" s="16" t="s">
        <v>20</v>
      </c>
      <c r="CD13" s="16" t="s">
        <v>56</v>
      </c>
      <c r="CE13" s="16" t="s">
        <v>20</v>
      </c>
      <c r="CF13" s="16" t="s">
        <v>25</v>
      </c>
      <c r="CG13" s="16" t="s">
        <v>25</v>
      </c>
      <c r="CH13" s="16" t="s">
        <v>25</v>
      </c>
      <c r="CI13" s="16" t="s">
        <v>20</v>
      </c>
      <c r="CJ13" s="16" t="s">
        <v>20</v>
      </c>
      <c r="CK13" s="16" t="s">
        <v>20</v>
      </c>
      <c r="CL13" s="16" t="s">
        <v>25</v>
      </c>
      <c r="CM13" s="16" t="s">
        <v>20</v>
      </c>
      <c r="CN13" s="16" t="s">
        <v>56</v>
      </c>
      <c r="CO13" s="16" t="s">
        <v>25</v>
      </c>
      <c r="CP13" s="16" t="s">
        <v>25</v>
      </c>
      <c r="CQ13" s="16" t="s">
        <v>20</v>
      </c>
      <c r="CR13" s="16" t="s">
        <v>56</v>
      </c>
      <c r="CS13" s="16" t="s">
        <v>56</v>
      </c>
      <c r="CT13" s="16" t="s">
        <v>25</v>
      </c>
      <c r="CU13" s="16" t="s">
        <v>20</v>
      </c>
      <c r="CV13" s="16" t="s">
        <v>56</v>
      </c>
      <c r="CW13" s="16" t="s">
        <v>56</v>
      </c>
      <c r="CX13" s="16" t="s">
        <v>56</v>
      </c>
      <c r="CY13" s="16" t="s">
        <v>20</v>
      </c>
      <c r="CZ13" s="16" t="s">
        <v>25</v>
      </c>
      <c r="DA13" s="16" t="s">
        <v>20</v>
      </c>
      <c r="DB13" s="16" t="s">
        <v>25</v>
      </c>
      <c r="DC13" s="16" t="s">
        <v>20</v>
      </c>
      <c r="DD13" s="16" t="s">
        <v>25</v>
      </c>
      <c r="DE13" s="16" t="s">
        <v>20</v>
      </c>
      <c r="DF13" s="16" t="s">
        <v>56</v>
      </c>
      <c r="DG13" s="16" t="s">
        <v>25</v>
      </c>
      <c r="DH13" s="16" t="s">
        <v>56</v>
      </c>
      <c r="DI13" s="16" t="s">
        <v>20</v>
      </c>
      <c r="DJ13" s="16" t="s">
        <v>56</v>
      </c>
      <c r="DK13" s="16" t="s">
        <v>56</v>
      </c>
      <c r="DL13" s="16" t="s">
        <v>20</v>
      </c>
      <c r="DM13" s="16" t="s">
        <v>25</v>
      </c>
      <c r="DN13" s="16" t="s">
        <v>20</v>
      </c>
      <c r="DO13" s="16" t="s">
        <v>20</v>
      </c>
      <c r="DP13" s="16" t="s">
        <v>20</v>
      </c>
      <c r="DQ13" s="16" t="s">
        <v>20</v>
      </c>
      <c r="DR13" s="16" t="s">
        <v>20</v>
      </c>
      <c r="DS13" s="16" t="s">
        <v>20</v>
      </c>
      <c r="DT13" s="16" t="s">
        <v>25</v>
      </c>
      <c r="DU13" s="16" t="s">
        <v>20</v>
      </c>
      <c r="DV13" s="16" t="s">
        <v>25</v>
      </c>
      <c r="DW13" s="16" t="s">
        <v>56</v>
      </c>
      <c r="DX13" s="16" t="s">
        <v>56</v>
      </c>
      <c r="DY13" s="16" t="s">
        <v>56</v>
      </c>
      <c r="DZ13" s="16" t="s">
        <v>56</v>
      </c>
      <c r="EA13" s="16" t="s">
        <v>20</v>
      </c>
      <c r="EB13" s="16" t="s">
        <v>25</v>
      </c>
      <c r="EC13" s="16" t="s">
        <v>56</v>
      </c>
      <c r="ED13" s="16" t="s">
        <v>56</v>
      </c>
      <c r="EE13" s="16" t="s">
        <v>56</v>
      </c>
      <c r="EF13" s="16" t="s">
        <v>56</v>
      </c>
      <c r="EG13" s="16" t="s">
        <v>20</v>
      </c>
      <c r="EH13" s="16" t="s">
        <v>20</v>
      </c>
      <c r="EI13" s="16" t="s">
        <v>20</v>
      </c>
      <c r="EJ13" s="16" t="s">
        <v>56</v>
      </c>
      <c r="EK13" s="16" t="s">
        <v>20</v>
      </c>
      <c r="EL13" s="16" t="s">
        <v>56</v>
      </c>
      <c r="EM13" s="16" t="s">
        <v>20</v>
      </c>
      <c r="EN13" s="16" t="s">
        <v>25</v>
      </c>
      <c r="EO13" s="16" t="s">
        <v>25</v>
      </c>
      <c r="EP13" s="16" t="s">
        <v>20</v>
      </c>
      <c r="EQ13" s="16" t="s">
        <v>20</v>
      </c>
      <c r="ER13" s="16" t="s">
        <v>56</v>
      </c>
      <c r="ES13" s="16" t="s">
        <v>20</v>
      </c>
      <c r="ET13" s="16" t="s">
        <v>25</v>
      </c>
      <c r="EU13" s="16" t="s">
        <v>20</v>
      </c>
      <c r="EV13" s="16" t="s">
        <v>56</v>
      </c>
      <c r="EW13" s="16" t="s">
        <v>20</v>
      </c>
      <c r="EX13" s="16" t="s">
        <v>56</v>
      </c>
      <c r="EY13" s="16" t="s">
        <v>56</v>
      </c>
      <c r="EZ13" s="16" t="s">
        <v>56</v>
      </c>
      <c r="FA13" s="16" t="s">
        <v>56</v>
      </c>
      <c r="FB13" s="16" t="s">
        <v>56</v>
      </c>
      <c r="FC13" s="16" t="s">
        <v>25</v>
      </c>
      <c r="FD13" s="16" t="s">
        <v>56</v>
      </c>
      <c r="FE13" s="16" t="s">
        <v>56</v>
      </c>
      <c r="FF13" s="16" t="s">
        <v>25</v>
      </c>
      <c r="FG13" s="16" t="s">
        <v>20</v>
      </c>
      <c r="FH13" s="16" t="s">
        <v>25</v>
      </c>
      <c r="FI13" s="16" t="s">
        <v>56</v>
      </c>
      <c r="FJ13" s="16" t="s">
        <v>25</v>
      </c>
      <c r="FK13" s="16" t="s">
        <v>25</v>
      </c>
      <c r="FL13" s="16" t="s">
        <v>20</v>
      </c>
      <c r="FM13" s="16" t="s">
        <v>56</v>
      </c>
      <c r="FN13" s="16" t="s">
        <v>20</v>
      </c>
      <c r="FO13" s="16" t="s">
        <v>25</v>
      </c>
      <c r="FP13" s="16" t="s">
        <v>56</v>
      </c>
      <c r="FQ13" s="16" t="s">
        <v>25</v>
      </c>
      <c r="FR13" s="16" t="s">
        <v>56</v>
      </c>
      <c r="FS13" s="16" t="s">
        <v>25</v>
      </c>
      <c r="FT13" s="16" t="s">
        <v>25</v>
      </c>
      <c r="FU13" s="16" t="s">
        <v>20</v>
      </c>
      <c r="FV13" s="16" t="s">
        <v>20</v>
      </c>
      <c r="FW13" s="16" t="s">
        <v>20</v>
      </c>
      <c r="FX13" s="16" t="s">
        <v>20</v>
      </c>
      <c r="FY13" s="16" t="s">
        <v>20</v>
      </c>
      <c r="FZ13" s="16" t="s">
        <v>20</v>
      </c>
      <c r="GA13" s="16" t="s">
        <v>20</v>
      </c>
      <c r="GB13" s="16" t="s">
        <v>25</v>
      </c>
      <c r="GC13" s="16" t="s">
        <v>25</v>
      </c>
      <c r="GD13" s="16" t="s">
        <v>56</v>
      </c>
      <c r="GE13" s="16" t="s">
        <v>25</v>
      </c>
      <c r="GF13" s="16" t="s">
        <v>56</v>
      </c>
      <c r="GG13" s="16" t="s">
        <v>25</v>
      </c>
      <c r="GH13" s="16" t="s">
        <v>56</v>
      </c>
      <c r="GI13" s="16" t="s">
        <v>56</v>
      </c>
      <c r="GJ13" s="16" t="s">
        <v>56</v>
      </c>
      <c r="GK13" s="16" t="s">
        <v>20</v>
      </c>
      <c r="GL13" s="16" t="s">
        <v>56</v>
      </c>
      <c r="GM13" s="16" t="s">
        <v>20</v>
      </c>
      <c r="GN13" s="16" t="s">
        <v>56</v>
      </c>
      <c r="GO13" s="16" t="s">
        <v>56</v>
      </c>
      <c r="GP13" s="16" t="s">
        <v>20</v>
      </c>
      <c r="GQ13" s="16" t="s">
        <v>25</v>
      </c>
      <c r="GR13" s="16" t="s">
        <v>25</v>
      </c>
      <c r="GS13" s="16" t="s">
        <v>20</v>
      </c>
    </row>
    <row r="14" spans="1:201" x14ac:dyDescent="0.3">
      <c r="A14" s="15" t="s">
        <v>9</v>
      </c>
      <c r="B14" s="16">
        <v>20012.71</v>
      </c>
      <c r="C14" s="16">
        <v>32526.73</v>
      </c>
      <c r="D14" s="16">
        <v>4927.51</v>
      </c>
      <c r="E14" s="16">
        <v>38088.83</v>
      </c>
      <c r="F14" s="16">
        <v>19018.79</v>
      </c>
      <c r="G14" s="16">
        <v>13800.67</v>
      </c>
      <c r="H14" s="16">
        <v>31318.959999999999</v>
      </c>
      <c r="I14" s="16">
        <v>10853.73</v>
      </c>
      <c r="J14" s="16">
        <v>6540.32</v>
      </c>
      <c r="K14" s="16">
        <v>10918.37</v>
      </c>
      <c r="L14" s="16">
        <v>27163.21</v>
      </c>
      <c r="M14" s="16">
        <v>4746.18</v>
      </c>
      <c r="N14" s="16">
        <v>18491.32</v>
      </c>
      <c r="O14" s="16">
        <v>10033.93</v>
      </c>
      <c r="P14" s="16">
        <v>22190.58</v>
      </c>
      <c r="Q14" s="16">
        <v>6220.59</v>
      </c>
      <c r="R14" s="16">
        <v>31139.48</v>
      </c>
      <c r="S14" s="16">
        <v>37017.370000000003</v>
      </c>
      <c r="T14" s="16">
        <v>13318.88</v>
      </c>
      <c r="U14" s="16">
        <v>14695.56</v>
      </c>
      <c r="V14" s="16">
        <v>24244.94</v>
      </c>
      <c r="W14" s="16">
        <v>29761.68</v>
      </c>
      <c r="X14" s="16">
        <v>3084.33</v>
      </c>
      <c r="Y14" s="16">
        <v>27251.31</v>
      </c>
      <c r="Z14" s="16">
        <v>32718.53</v>
      </c>
      <c r="AA14" s="16">
        <v>31866.83</v>
      </c>
      <c r="AB14" s="16">
        <v>17993.169999999998</v>
      </c>
      <c r="AC14" s="16">
        <v>33052.6</v>
      </c>
      <c r="AD14" s="16">
        <v>22245.41</v>
      </c>
      <c r="AE14" s="16">
        <v>8119.62</v>
      </c>
      <c r="AF14" s="16">
        <v>12000.88</v>
      </c>
      <c r="AG14" s="16">
        <v>24035.25</v>
      </c>
      <c r="AH14" s="16">
        <v>22457.01</v>
      </c>
      <c r="AI14" s="16">
        <v>32245</v>
      </c>
      <c r="AJ14" s="16">
        <v>28823.82</v>
      </c>
      <c r="AK14" s="16">
        <v>9151.9599999999991</v>
      </c>
      <c r="AL14" s="16">
        <v>16377.54</v>
      </c>
      <c r="AM14" s="16">
        <v>31300.51</v>
      </c>
      <c r="AN14" s="16">
        <v>18758.23</v>
      </c>
      <c r="AO14" s="16">
        <v>9621.19</v>
      </c>
      <c r="AP14" s="16">
        <v>37534.11</v>
      </c>
      <c r="AQ14" s="16">
        <v>18403.759999999998</v>
      </c>
      <c r="AR14" s="16">
        <v>12902.1</v>
      </c>
      <c r="AS14" s="16">
        <v>20841.32</v>
      </c>
      <c r="AT14" s="16">
        <v>12596</v>
      </c>
      <c r="AU14" s="16">
        <v>11399.04</v>
      </c>
      <c r="AV14" s="16">
        <v>26732.05</v>
      </c>
      <c r="AW14" s="16">
        <v>31973.15</v>
      </c>
      <c r="AX14" s="16">
        <v>16826.2</v>
      </c>
      <c r="AY14" s="16">
        <v>7108.85</v>
      </c>
      <c r="AZ14" s="16">
        <v>19451.18</v>
      </c>
      <c r="BA14" s="16">
        <v>16542.75</v>
      </c>
      <c r="BB14" s="16">
        <v>17879.88</v>
      </c>
      <c r="BC14" s="16">
        <v>10203.14</v>
      </c>
      <c r="BD14" s="16">
        <v>30968.22</v>
      </c>
      <c r="BE14" s="16">
        <v>8727.32</v>
      </c>
      <c r="BF14" s="16">
        <v>2314.94</v>
      </c>
      <c r="BG14" s="16">
        <v>28244.45</v>
      </c>
      <c r="BH14" s="16">
        <v>29906.04</v>
      </c>
      <c r="BI14" s="16">
        <v>10159.370000000001</v>
      </c>
      <c r="BJ14" s="16">
        <v>7597.51</v>
      </c>
      <c r="BK14" s="16">
        <v>23556.83</v>
      </c>
      <c r="BL14" s="16">
        <v>36849.51</v>
      </c>
      <c r="BM14" s="16">
        <v>10756.15</v>
      </c>
      <c r="BN14" s="16">
        <v>21968.16</v>
      </c>
      <c r="BO14" s="16">
        <v>11163.63</v>
      </c>
      <c r="BP14" s="16">
        <v>29872.59</v>
      </c>
      <c r="BQ14" s="16">
        <v>19110.18</v>
      </c>
      <c r="BR14" s="16">
        <v>15655.09</v>
      </c>
      <c r="BS14" s="16">
        <v>26520.71</v>
      </c>
      <c r="BT14" s="16">
        <v>21631.65</v>
      </c>
      <c r="BU14" s="16">
        <v>8685.0499999999993</v>
      </c>
      <c r="BV14" s="16">
        <v>17115.52</v>
      </c>
      <c r="BW14" s="16">
        <v>38294.550000000003</v>
      </c>
      <c r="BX14" s="16">
        <v>32204.5</v>
      </c>
      <c r="BY14" s="16">
        <v>20874.66</v>
      </c>
      <c r="BZ14" s="16">
        <v>26690.16</v>
      </c>
      <c r="CA14" s="16">
        <v>6380.96</v>
      </c>
      <c r="CB14" s="16">
        <v>16997.18</v>
      </c>
      <c r="CC14" s="16">
        <v>35876.800000000003</v>
      </c>
      <c r="CD14" s="16">
        <v>8174.32</v>
      </c>
      <c r="CE14" s="16">
        <v>39291.32</v>
      </c>
      <c r="CF14" s="16">
        <v>34045.949999999997</v>
      </c>
      <c r="CG14" s="16">
        <v>27696.22</v>
      </c>
      <c r="CH14" s="16">
        <v>15446.07</v>
      </c>
      <c r="CI14" s="16">
        <v>4409.4399999999996</v>
      </c>
      <c r="CJ14" s="16">
        <v>12351.61</v>
      </c>
      <c r="CK14" s="16">
        <v>29847.06</v>
      </c>
      <c r="CL14" s="16">
        <v>17327.560000000001</v>
      </c>
      <c r="CM14" s="16">
        <v>32273.13</v>
      </c>
      <c r="CN14" s="16">
        <v>9259.2199999999993</v>
      </c>
      <c r="CO14" s="16">
        <v>33090.85</v>
      </c>
      <c r="CP14" s="16">
        <v>34516.370000000003</v>
      </c>
      <c r="CQ14" s="16">
        <v>29110.13</v>
      </c>
      <c r="CR14" s="16">
        <v>8797.35</v>
      </c>
      <c r="CS14" s="16">
        <v>9537.34</v>
      </c>
      <c r="CT14" s="16">
        <v>3320.34</v>
      </c>
      <c r="CU14" s="16">
        <v>2811.01</v>
      </c>
      <c r="CV14" s="16">
        <v>29771.53</v>
      </c>
      <c r="CW14" s="16">
        <v>20067.45</v>
      </c>
      <c r="CX14" s="16">
        <v>30651.24</v>
      </c>
      <c r="CY14" s="16">
        <v>11883.65</v>
      </c>
      <c r="CZ14" s="16">
        <v>14334.46</v>
      </c>
      <c r="DA14" s="16">
        <v>35872.379999999997</v>
      </c>
      <c r="DB14" s="16">
        <v>39897.43</v>
      </c>
      <c r="DC14" s="16">
        <v>4788.83</v>
      </c>
      <c r="DD14" s="16">
        <v>31346.68</v>
      </c>
      <c r="DE14" s="16">
        <v>22601.02</v>
      </c>
      <c r="DF14" s="16">
        <v>978.31</v>
      </c>
      <c r="DG14" s="16">
        <v>24968.77</v>
      </c>
      <c r="DH14" s="16">
        <v>11773.18</v>
      </c>
      <c r="DI14" s="16">
        <v>14542.07</v>
      </c>
      <c r="DJ14" s="16">
        <v>38795.730000000003</v>
      </c>
      <c r="DK14" s="16">
        <v>29912.97</v>
      </c>
      <c r="DL14" s="16">
        <v>2937.25</v>
      </c>
      <c r="DM14" s="16">
        <v>27494.25</v>
      </c>
      <c r="DN14" s="16">
        <v>1309.43</v>
      </c>
      <c r="DO14" s="16">
        <v>35538.800000000003</v>
      </c>
      <c r="DP14" s="16">
        <v>24189.95</v>
      </c>
      <c r="DQ14" s="16">
        <v>25528.2</v>
      </c>
      <c r="DR14" s="16">
        <v>1444.79</v>
      </c>
      <c r="DS14" s="16">
        <v>4084.41</v>
      </c>
      <c r="DT14" s="16">
        <v>21425.19</v>
      </c>
      <c r="DU14" s="16">
        <v>15764</v>
      </c>
      <c r="DV14" s="16">
        <v>32877.18</v>
      </c>
      <c r="DW14" s="16">
        <v>11931.71</v>
      </c>
      <c r="DX14" s="16">
        <v>16466.89</v>
      </c>
      <c r="DY14" s="16">
        <v>5503.95</v>
      </c>
      <c r="DZ14" s="16">
        <v>20512.54</v>
      </c>
      <c r="EA14" s="16">
        <v>38236.85</v>
      </c>
      <c r="EB14" s="16">
        <v>11223.16</v>
      </c>
      <c r="EC14" s="16">
        <v>31800.6</v>
      </c>
      <c r="ED14" s="16">
        <v>7227.08</v>
      </c>
      <c r="EE14" s="16">
        <v>35527.4</v>
      </c>
      <c r="EF14" s="16">
        <v>20895.22</v>
      </c>
      <c r="EG14" s="16">
        <v>5731.68</v>
      </c>
      <c r="EH14" s="16">
        <v>31481.71</v>
      </c>
      <c r="EI14" s="16">
        <v>35593.4</v>
      </c>
      <c r="EJ14" s="16">
        <v>6486.4</v>
      </c>
      <c r="EK14" s="16">
        <v>5402.7</v>
      </c>
      <c r="EL14" s="16">
        <v>10654.43</v>
      </c>
      <c r="EM14" s="16">
        <v>20985.98</v>
      </c>
      <c r="EN14" s="16">
        <v>38044.33</v>
      </c>
      <c r="EO14" s="16">
        <v>34535.49</v>
      </c>
      <c r="EP14" s="16">
        <v>13525.34</v>
      </c>
      <c r="EQ14" s="16">
        <v>2260.59</v>
      </c>
      <c r="ER14" s="16">
        <v>24151.75</v>
      </c>
      <c r="ES14" s="16">
        <v>23330.67</v>
      </c>
      <c r="ET14" s="16">
        <v>10268.280000000001</v>
      </c>
      <c r="EU14" s="16">
        <v>24459.58</v>
      </c>
      <c r="EV14" s="16">
        <v>39278.5</v>
      </c>
      <c r="EW14" s="16">
        <v>6459.97</v>
      </c>
      <c r="EX14" s="16">
        <v>13140.25</v>
      </c>
      <c r="EY14" s="16">
        <v>34039</v>
      </c>
      <c r="EZ14" s="16">
        <v>7039.66</v>
      </c>
      <c r="FA14" s="16">
        <v>5847.74</v>
      </c>
      <c r="FB14" s="16">
        <v>7543.26</v>
      </c>
      <c r="FC14" s="16">
        <v>30972.14</v>
      </c>
      <c r="FD14" s="16">
        <v>5795.26</v>
      </c>
      <c r="FE14" s="16">
        <v>4372.08</v>
      </c>
      <c r="FF14" s="16">
        <v>25376.720000000001</v>
      </c>
      <c r="FG14" s="16">
        <v>30859.74</v>
      </c>
      <c r="FH14" s="16">
        <v>30448.78</v>
      </c>
      <c r="FI14" s="16">
        <v>17777.63</v>
      </c>
      <c r="FJ14" s="16">
        <v>36730.730000000003</v>
      </c>
      <c r="FK14" s="16">
        <v>6714.31</v>
      </c>
      <c r="FL14" s="16">
        <v>18107.64</v>
      </c>
      <c r="FM14" s="16">
        <v>15276.06</v>
      </c>
      <c r="FN14" s="16">
        <v>22210.49</v>
      </c>
      <c r="FO14" s="16">
        <v>8375.8799999999992</v>
      </c>
      <c r="FP14" s="16">
        <v>6567.22</v>
      </c>
      <c r="FQ14" s="16">
        <v>39347.65</v>
      </c>
      <c r="FR14" s="16">
        <v>12643.35</v>
      </c>
      <c r="FS14" s="16">
        <v>20388.310000000001</v>
      </c>
      <c r="FT14" s="16">
        <v>36717.72</v>
      </c>
      <c r="FU14" s="16">
        <v>12663.95</v>
      </c>
      <c r="FV14" s="16">
        <v>15170.56</v>
      </c>
      <c r="FW14" s="16">
        <v>22875.68</v>
      </c>
      <c r="FX14" s="16">
        <v>3468.05</v>
      </c>
      <c r="FY14" s="16">
        <v>1716.38</v>
      </c>
      <c r="FZ14" s="16">
        <v>25604.14</v>
      </c>
      <c r="GA14" s="16">
        <v>15338.55</v>
      </c>
      <c r="GB14" s="16">
        <v>3916.45</v>
      </c>
      <c r="GC14" s="16">
        <v>12036.2</v>
      </c>
      <c r="GD14" s="16">
        <v>27983.49</v>
      </c>
      <c r="GE14" s="16">
        <v>30576.58</v>
      </c>
      <c r="GF14" s="16">
        <v>20611.53</v>
      </c>
      <c r="GG14" s="16">
        <v>9453.9500000000007</v>
      </c>
      <c r="GH14" s="16">
        <v>33708.239999999998</v>
      </c>
      <c r="GI14" s="16">
        <v>8941.57</v>
      </c>
      <c r="GJ14" s="16">
        <v>30471.09</v>
      </c>
      <c r="GK14" s="16">
        <v>6806.38</v>
      </c>
      <c r="GL14" s="16">
        <v>37446.239999999998</v>
      </c>
      <c r="GM14" s="16">
        <v>31116.13</v>
      </c>
      <c r="GN14" s="16">
        <v>20448.599999999999</v>
      </c>
      <c r="GO14" s="16">
        <v>17819.509999999998</v>
      </c>
      <c r="GP14" s="16">
        <v>23260.65</v>
      </c>
      <c r="GQ14" s="16">
        <v>26715.68</v>
      </c>
      <c r="GR14" s="16">
        <v>22669</v>
      </c>
      <c r="GS14" s="16">
        <v>28076.03</v>
      </c>
    </row>
    <row r="15" spans="1:201" x14ac:dyDescent="0.3">
      <c r="A15" s="15" t="s">
        <v>10</v>
      </c>
      <c r="B15" s="16">
        <v>6</v>
      </c>
      <c r="C15" s="16">
        <v>6</v>
      </c>
      <c r="D15" s="16">
        <v>1</v>
      </c>
      <c r="E15" s="16">
        <v>2</v>
      </c>
      <c r="F15" s="16">
        <v>2</v>
      </c>
      <c r="G15" s="16">
        <v>6</v>
      </c>
      <c r="H15" s="16">
        <v>9</v>
      </c>
      <c r="I15" s="16">
        <v>10</v>
      </c>
      <c r="J15" s="16">
        <v>3</v>
      </c>
      <c r="K15" s="16">
        <v>4</v>
      </c>
      <c r="L15" s="16">
        <v>10</v>
      </c>
      <c r="M15" s="16">
        <v>11</v>
      </c>
      <c r="N15" s="16">
        <v>9</v>
      </c>
      <c r="O15" s="16">
        <v>1</v>
      </c>
      <c r="P15" s="16">
        <v>6</v>
      </c>
      <c r="Q15" s="16">
        <v>11</v>
      </c>
      <c r="R15" s="16">
        <v>5</v>
      </c>
      <c r="S15" s="16">
        <v>1</v>
      </c>
      <c r="T15" s="16">
        <v>3</v>
      </c>
      <c r="U15" s="16">
        <v>3</v>
      </c>
      <c r="V15" s="16">
        <v>9</v>
      </c>
      <c r="W15" s="16">
        <v>10</v>
      </c>
      <c r="X15" s="16">
        <v>4</v>
      </c>
      <c r="Y15" s="16">
        <v>10</v>
      </c>
      <c r="Z15" s="16">
        <v>7</v>
      </c>
      <c r="AA15" s="16">
        <v>1</v>
      </c>
      <c r="AB15" s="16">
        <v>1</v>
      </c>
      <c r="AC15" s="16">
        <v>10</v>
      </c>
      <c r="AD15" s="16">
        <v>10</v>
      </c>
      <c r="AE15" s="16">
        <v>1</v>
      </c>
      <c r="AF15" s="16">
        <v>6</v>
      </c>
      <c r="AG15" s="16">
        <v>11</v>
      </c>
      <c r="AH15" s="16">
        <v>7</v>
      </c>
      <c r="AI15" s="16">
        <v>4</v>
      </c>
      <c r="AJ15" s="16">
        <v>6</v>
      </c>
      <c r="AK15" s="16">
        <v>3</v>
      </c>
      <c r="AL15" s="16">
        <v>10</v>
      </c>
      <c r="AM15" s="16">
        <v>4</v>
      </c>
      <c r="AN15" s="16">
        <v>5</v>
      </c>
      <c r="AO15" s="16">
        <v>6</v>
      </c>
      <c r="AP15" s="16">
        <v>1</v>
      </c>
      <c r="AQ15" s="16">
        <v>6</v>
      </c>
      <c r="AR15" s="16">
        <v>8</v>
      </c>
      <c r="AS15" s="16">
        <v>6</v>
      </c>
      <c r="AT15" s="16">
        <v>7</v>
      </c>
      <c r="AU15" s="16">
        <v>8</v>
      </c>
      <c r="AV15" s="16">
        <v>6</v>
      </c>
      <c r="AW15" s="16">
        <v>4</v>
      </c>
      <c r="AX15" s="16">
        <v>4</v>
      </c>
      <c r="AY15" s="16">
        <v>10</v>
      </c>
      <c r="AZ15" s="16">
        <v>11</v>
      </c>
      <c r="BA15" s="16">
        <v>7</v>
      </c>
      <c r="BB15" s="16">
        <v>10</v>
      </c>
      <c r="BC15" s="16">
        <v>5</v>
      </c>
      <c r="BD15" s="16">
        <v>8</v>
      </c>
      <c r="BE15" s="16">
        <v>3</v>
      </c>
      <c r="BF15" s="16">
        <v>8</v>
      </c>
      <c r="BG15" s="16">
        <v>9</v>
      </c>
      <c r="BH15" s="16">
        <v>1</v>
      </c>
      <c r="BI15" s="16">
        <v>11</v>
      </c>
      <c r="BJ15" s="16">
        <v>3</v>
      </c>
      <c r="BK15" s="16">
        <v>9</v>
      </c>
      <c r="BL15" s="16">
        <v>3</v>
      </c>
      <c r="BM15" s="16">
        <v>3</v>
      </c>
      <c r="BN15" s="16">
        <v>1</v>
      </c>
      <c r="BO15" s="16">
        <v>8</v>
      </c>
      <c r="BP15" s="16">
        <v>8</v>
      </c>
      <c r="BQ15" s="16">
        <v>4</v>
      </c>
      <c r="BR15" s="16">
        <v>6</v>
      </c>
      <c r="BS15" s="16">
        <v>11</v>
      </c>
      <c r="BT15" s="16">
        <v>2</v>
      </c>
      <c r="BU15" s="16">
        <v>3</v>
      </c>
      <c r="BV15" s="16">
        <v>2</v>
      </c>
      <c r="BW15" s="16">
        <v>2</v>
      </c>
      <c r="BX15" s="16">
        <v>5</v>
      </c>
      <c r="BY15" s="16">
        <v>10</v>
      </c>
      <c r="BZ15" s="16">
        <v>10</v>
      </c>
      <c r="CA15" s="16">
        <v>6</v>
      </c>
      <c r="CB15" s="16">
        <v>4</v>
      </c>
      <c r="CC15" s="16">
        <v>4</v>
      </c>
      <c r="CD15" s="16">
        <v>1</v>
      </c>
      <c r="CE15" s="16">
        <v>3</v>
      </c>
      <c r="CF15" s="16">
        <v>11</v>
      </c>
      <c r="CG15" s="16">
        <v>8</v>
      </c>
      <c r="CH15" s="16">
        <v>3</v>
      </c>
      <c r="CI15" s="16">
        <v>4</v>
      </c>
      <c r="CJ15" s="16">
        <v>11</v>
      </c>
      <c r="CK15" s="16">
        <v>5</v>
      </c>
      <c r="CL15" s="16">
        <v>8</v>
      </c>
      <c r="CM15" s="16">
        <v>10</v>
      </c>
      <c r="CN15" s="16">
        <v>9</v>
      </c>
      <c r="CO15" s="16">
        <v>1</v>
      </c>
      <c r="CP15" s="16">
        <v>10</v>
      </c>
      <c r="CQ15" s="16">
        <v>3</v>
      </c>
      <c r="CR15" s="16">
        <v>2</v>
      </c>
      <c r="CS15" s="16">
        <v>2</v>
      </c>
      <c r="CT15" s="16">
        <v>11</v>
      </c>
      <c r="CU15" s="16">
        <v>10</v>
      </c>
      <c r="CV15" s="16">
        <v>11</v>
      </c>
      <c r="CW15" s="16">
        <v>3</v>
      </c>
      <c r="CX15" s="16">
        <v>8</v>
      </c>
      <c r="CY15" s="16">
        <v>3</v>
      </c>
      <c r="CZ15" s="16">
        <v>1</v>
      </c>
      <c r="DA15" s="16">
        <v>7</v>
      </c>
      <c r="DB15" s="16">
        <v>11</v>
      </c>
      <c r="DC15" s="16">
        <v>3</v>
      </c>
      <c r="DD15" s="16">
        <v>1</v>
      </c>
      <c r="DE15" s="16">
        <v>7</v>
      </c>
      <c r="DF15" s="16">
        <v>1</v>
      </c>
      <c r="DG15" s="16">
        <v>9</v>
      </c>
      <c r="DH15" s="16">
        <v>3</v>
      </c>
      <c r="DI15" s="16">
        <v>1</v>
      </c>
      <c r="DJ15" s="16">
        <v>1</v>
      </c>
      <c r="DK15" s="16">
        <v>7</v>
      </c>
      <c r="DL15" s="16">
        <v>10</v>
      </c>
      <c r="DM15" s="16">
        <v>1</v>
      </c>
      <c r="DN15" s="16">
        <v>4</v>
      </c>
      <c r="DO15" s="16">
        <v>6</v>
      </c>
      <c r="DP15" s="16">
        <v>8</v>
      </c>
      <c r="DQ15" s="16">
        <v>7</v>
      </c>
      <c r="DR15" s="16">
        <v>11</v>
      </c>
      <c r="DS15" s="16">
        <v>7</v>
      </c>
      <c r="DT15" s="16">
        <v>10</v>
      </c>
      <c r="DU15" s="16">
        <v>4</v>
      </c>
      <c r="DV15" s="16">
        <v>7</v>
      </c>
      <c r="DW15" s="16">
        <v>2</v>
      </c>
      <c r="DX15" s="16">
        <v>4</v>
      </c>
      <c r="DY15" s="16">
        <v>10</v>
      </c>
      <c r="DZ15" s="16">
        <v>7</v>
      </c>
      <c r="EA15" s="16">
        <v>7</v>
      </c>
      <c r="EB15" s="16">
        <v>7</v>
      </c>
      <c r="EC15" s="16">
        <v>7</v>
      </c>
      <c r="ED15" s="16">
        <v>1</v>
      </c>
      <c r="EE15" s="16">
        <v>7</v>
      </c>
      <c r="EF15" s="16">
        <v>1</v>
      </c>
      <c r="EG15" s="16">
        <v>7</v>
      </c>
      <c r="EH15" s="16">
        <v>6</v>
      </c>
      <c r="EI15" s="16">
        <v>7</v>
      </c>
      <c r="EJ15" s="16">
        <v>11</v>
      </c>
      <c r="EK15" s="16">
        <v>11</v>
      </c>
      <c r="EL15" s="16">
        <v>4</v>
      </c>
      <c r="EM15" s="16">
        <v>2</v>
      </c>
      <c r="EN15" s="16">
        <v>5</v>
      </c>
      <c r="EO15" s="16">
        <v>6</v>
      </c>
      <c r="EP15" s="16">
        <v>10</v>
      </c>
      <c r="EQ15" s="16">
        <v>5</v>
      </c>
      <c r="ER15" s="16">
        <v>3</v>
      </c>
      <c r="ES15" s="16">
        <v>9</v>
      </c>
      <c r="ET15" s="16">
        <v>11</v>
      </c>
      <c r="EU15" s="16">
        <v>10</v>
      </c>
      <c r="EV15" s="16">
        <v>10</v>
      </c>
      <c r="EW15" s="16">
        <v>1</v>
      </c>
      <c r="EX15" s="16">
        <v>10</v>
      </c>
      <c r="EY15" s="16">
        <v>4</v>
      </c>
      <c r="EZ15" s="16">
        <v>2</v>
      </c>
      <c r="FA15" s="16">
        <v>2</v>
      </c>
      <c r="FB15" s="16">
        <v>11</v>
      </c>
      <c r="FC15" s="16">
        <v>6</v>
      </c>
      <c r="FD15" s="16">
        <v>2</v>
      </c>
      <c r="FE15" s="16">
        <v>1</v>
      </c>
      <c r="FF15" s="16">
        <v>9</v>
      </c>
      <c r="FG15" s="16">
        <v>4</v>
      </c>
      <c r="FH15" s="16">
        <v>2</v>
      </c>
      <c r="FI15" s="16">
        <v>7</v>
      </c>
      <c r="FJ15" s="16">
        <v>11</v>
      </c>
      <c r="FK15" s="16">
        <v>3</v>
      </c>
      <c r="FL15" s="16">
        <v>10</v>
      </c>
      <c r="FM15" s="16">
        <v>11</v>
      </c>
      <c r="FN15" s="16">
        <v>9</v>
      </c>
      <c r="FO15" s="16">
        <v>6</v>
      </c>
      <c r="FP15" s="16">
        <v>3</v>
      </c>
      <c r="FQ15" s="16">
        <v>3</v>
      </c>
      <c r="FR15" s="16">
        <v>4</v>
      </c>
      <c r="FS15" s="16">
        <v>5</v>
      </c>
      <c r="FT15" s="16">
        <v>9</v>
      </c>
      <c r="FU15" s="16">
        <v>8</v>
      </c>
      <c r="FV15" s="16">
        <v>1</v>
      </c>
      <c r="FW15" s="16">
        <v>6</v>
      </c>
      <c r="FX15" s="16">
        <v>7</v>
      </c>
      <c r="FY15" s="16">
        <v>3</v>
      </c>
      <c r="FZ15" s="16">
        <v>6</v>
      </c>
      <c r="GA15" s="16">
        <v>9</v>
      </c>
      <c r="GB15" s="16">
        <v>9</v>
      </c>
      <c r="GC15" s="16">
        <v>11</v>
      </c>
      <c r="GD15" s="16">
        <v>5</v>
      </c>
      <c r="GE15" s="16">
        <v>11</v>
      </c>
      <c r="GF15" s="16">
        <v>4</v>
      </c>
      <c r="GG15" s="16">
        <v>4</v>
      </c>
      <c r="GH15" s="16">
        <v>11</v>
      </c>
      <c r="GI15" s="16">
        <v>6</v>
      </c>
      <c r="GJ15" s="16">
        <v>2</v>
      </c>
      <c r="GK15" s="16">
        <v>2</v>
      </c>
      <c r="GL15" s="16">
        <v>5</v>
      </c>
      <c r="GM15" s="16">
        <v>1</v>
      </c>
      <c r="GN15" s="16">
        <v>7</v>
      </c>
      <c r="GO15" s="16">
        <v>10</v>
      </c>
      <c r="GP15" s="16">
        <v>7</v>
      </c>
      <c r="GQ15" s="16">
        <v>2</v>
      </c>
      <c r="GR15" s="16">
        <v>3</v>
      </c>
      <c r="GS15" s="16">
        <v>2</v>
      </c>
    </row>
    <row r="16" spans="1:201" x14ac:dyDescent="0.3">
      <c r="A16" s="15" t="s">
        <v>11</v>
      </c>
      <c r="B16" s="16">
        <v>0.05</v>
      </c>
      <c r="C16" s="16">
        <v>0.17</v>
      </c>
      <c r="D16" s="16">
        <v>0.12</v>
      </c>
      <c r="E16" s="16">
        <v>0.23</v>
      </c>
      <c r="F16" s="16">
        <v>0.22</v>
      </c>
      <c r="G16" s="16">
        <v>0.09</v>
      </c>
      <c r="H16" s="16">
        <v>0.1</v>
      </c>
      <c r="I16" s="16">
        <v>0.23</v>
      </c>
      <c r="J16" s="16">
        <v>0.24</v>
      </c>
      <c r="K16" s="16">
        <v>0.2</v>
      </c>
      <c r="L16" s="16">
        <v>0.02</v>
      </c>
      <c r="M16" s="16">
        <v>0.01</v>
      </c>
      <c r="N16" s="16">
        <v>0.15</v>
      </c>
      <c r="O16" s="16">
        <v>0.19</v>
      </c>
      <c r="P16" s="16">
        <v>0.18</v>
      </c>
      <c r="Q16" s="16">
        <v>0.2</v>
      </c>
      <c r="R16" s="16">
        <v>0.04</v>
      </c>
      <c r="S16" s="16">
        <v>0</v>
      </c>
      <c r="T16" s="16">
        <v>0.14000000000000001</v>
      </c>
      <c r="U16" s="16">
        <v>0.22</v>
      </c>
      <c r="V16" s="16">
        <v>0.06</v>
      </c>
      <c r="W16" s="16">
        <v>0.05</v>
      </c>
      <c r="X16" s="16">
        <v>0.22</v>
      </c>
      <c r="Y16" s="16">
        <v>0.09</v>
      </c>
      <c r="Z16" s="16">
        <v>0.09</v>
      </c>
      <c r="AA16" s="16">
        <v>0.15</v>
      </c>
      <c r="AB16" s="16">
        <v>7.0000000000000007E-2</v>
      </c>
      <c r="AC16" s="16">
        <v>0.23</v>
      </c>
      <c r="AD16" s="16">
        <v>0.05</v>
      </c>
      <c r="AE16" s="16">
        <v>0.01</v>
      </c>
      <c r="AF16" s="16">
        <v>0.11</v>
      </c>
      <c r="AG16" s="16">
        <v>0.15</v>
      </c>
      <c r="AH16" s="16">
        <v>7.0000000000000007E-2</v>
      </c>
      <c r="AI16" s="16">
        <v>0.19</v>
      </c>
      <c r="AJ16" s="16">
        <v>0.02</v>
      </c>
      <c r="AK16" s="16">
        <v>0.08</v>
      </c>
      <c r="AL16" s="16">
        <v>0.11</v>
      </c>
      <c r="AM16" s="16">
        <v>0.24</v>
      </c>
      <c r="AN16" s="16">
        <v>0.03</v>
      </c>
      <c r="AO16" s="16">
        <v>0.04</v>
      </c>
      <c r="AP16" s="16">
        <v>0.05</v>
      </c>
      <c r="AQ16" s="16">
        <v>0.19</v>
      </c>
      <c r="AR16" s="16">
        <v>7.0000000000000007E-2</v>
      </c>
      <c r="AS16" s="16">
        <v>0.08</v>
      </c>
      <c r="AT16" s="16">
        <v>0.14000000000000001</v>
      </c>
      <c r="AU16" s="16">
        <v>0.1</v>
      </c>
      <c r="AV16" s="16">
        <v>0.15</v>
      </c>
      <c r="AW16" s="16">
        <v>0.13</v>
      </c>
      <c r="AX16" s="16">
        <v>0.18</v>
      </c>
      <c r="AY16" s="16">
        <v>0.25</v>
      </c>
      <c r="AZ16" s="16">
        <v>0.09</v>
      </c>
      <c r="BA16" s="16">
        <v>0.05</v>
      </c>
      <c r="BB16" s="16">
        <v>0.04</v>
      </c>
      <c r="BC16" s="16">
        <v>0.1</v>
      </c>
      <c r="BD16" s="16">
        <v>0.23</v>
      </c>
      <c r="BE16" s="16">
        <v>0.05</v>
      </c>
      <c r="BF16" s="16">
        <v>0.09</v>
      </c>
      <c r="BG16" s="16">
        <v>0.22</v>
      </c>
      <c r="BH16" s="16">
        <v>0.22</v>
      </c>
      <c r="BI16" s="16">
        <v>0.15</v>
      </c>
      <c r="BJ16" s="16">
        <v>0.19</v>
      </c>
      <c r="BK16" s="16">
        <v>0.22</v>
      </c>
      <c r="BL16" s="16">
        <v>0.02</v>
      </c>
      <c r="BM16" s="16">
        <v>0.1</v>
      </c>
      <c r="BN16" s="16">
        <v>0.23</v>
      </c>
      <c r="BO16" s="16">
        <v>0.13</v>
      </c>
      <c r="BP16" s="16">
        <v>0.05</v>
      </c>
      <c r="BQ16" s="16">
        <v>0.12</v>
      </c>
      <c r="BR16" s="16">
        <v>0.2</v>
      </c>
      <c r="BS16" s="16">
        <v>0.24</v>
      </c>
      <c r="BT16" s="16">
        <v>0.21</v>
      </c>
      <c r="BU16" s="16">
        <v>0.13</v>
      </c>
      <c r="BV16" s="16">
        <v>0.17</v>
      </c>
      <c r="BW16" s="16">
        <v>0.03</v>
      </c>
      <c r="BX16" s="16">
        <v>0.24</v>
      </c>
      <c r="BY16" s="16">
        <v>0.16</v>
      </c>
      <c r="BZ16" s="16">
        <v>0</v>
      </c>
      <c r="CA16" s="16">
        <v>0.22</v>
      </c>
      <c r="CB16" s="16">
        <v>0.03</v>
      </c>
      <c r="CC16" s="16">
        <v>0.12</v>
      </c>
      <c r="CD16" s="16">
        <v>0.06</v>
      </c>
      <c r="CE16" s="16">
        <v>0.08</v>
      </c>
      <c r="CF16" s="16">
        <v>0.17</v>
      </c>
      <c r="CG16" s="16">
        <v>0</v>
      </c>
      <c r="CH16" s="16">
        <v>0.13</v>
      </c>
      <c r="CI16" s="16">
        <v>0.05</v>
      </c>
      <c r="CJ16" s="16">
        <v>0.22</v>
      </c>
      <c r="CK16" s="16">
        <v>0.08</v>
      </c>
      <c r="CL16" s="16">
        <v>0.09</v>
      </c>
      <c r="CM16" s="16">
        <v>0.1</v>
      </c>
      <c r="CN16" s="16">
        <v>0.2</v>
      </c>
      <c r="CO16" s="16">
        <v>0.13</v>
      </c>
      <c r="CP16" s="16">
        <v>0.18</v>
      </c>
      <c r="CQ16" s="16">
        <v>0.19</v>
      </c>
      <c r="CR16" s="16">
        <v>0.08</v>
      </c>
      <c r="CS16" s="16">
        <v>0.05</v>
      </c>
      <c r="CT16" s="16">
        <v>0.12</v>
      </c>
      <c r="CU16" s="16">
        <v>0.14000000000000001</v>
      </c>
      <c r="CV16" s="16">
        <v>0.01</v>
      </c>
      <c r="CW16" s="16">
        <v>0.02</v>
      </c>
      <c r="CX16" s="16">
        <v>0.17</v>
      </c>
      <c r="CY16" s="16">
        <v>0.24</v>
      </c>
      <c r="CZ16" s="16">
        <v>0.23</v>
      </c>
      <c r="DA16" s="16">
        <v>7.0000000000000007E-2</v>
      </c>
      <c r="DB16" s="16">
        <v>0.21</v>
      </c>
      <c r="DC16" s="16">
        <v>0.15</v>
      </c>
      <c r="DD16" s="16">
        <v>0.17</v>
      </c>
      <c r="DE16" s="16">
        <v>0.21</v>
      </c>
      <c r="DF16" s="16">
        <v>0.1</v>
      </c>
      <c r="DG16" s="16">
        <v>0.21</v>
      </c>
      <c r="DH16" s="16">
        <v>0.2</v>
      </c>
      <c r="DI16" s="16">
        <v>0.03</v>
      </c>
      <c r="DJ16" s="16">
        <v>0.15</v>
      </c>
      <c r="DK16" s="16">
        <v>0.11</v>
      </c>
      <c r="DL16" s="16">
        <v>0.21</v>
      </c>
      <c r="DM16" s="16">
        <v>7.0000000000000007E-2</v>
      </c>
      <c r="DN16" s="16">
        <v>0.04</v>
      </c>
      <c r="DO16" s="16">
        <v>0.08</v>
      </c>
      <c r="DP16" s="16">
        <v>0.24</v>
      </c>
      <c r="DQ16" s="16">
        <v>0.03</v>
      </c>
      <c r="DR16" s="16">
        <v>0.2</v>
      </c>
      <c r="DS16" s="16">
        <v>0.05</v>
      </c>
      <c r="DT16" s="16">
        <v>0.05</v>
      </c>
      <c r="DU16" s="16">
        <v>0.22</v>
      </c>
      <c r="DV16" s="16">
        <v>0.15</v>
      </c>
      <c r="DW16" s="16">
        <v>0.05</v>
      </c>
      <c r="DX16" s="16">
        <v>0.05</v>
      </c>
      <c r="DY16" s="16">
        <v>0.14000000000000001</v>
      </c>
      <c r="DZ16" s="16">
        <v>7.0000000000000007E-2</v>
      </c>
      <c r="EA16" s="16">
        <v>0.11</v>
      </c>
      <c r="EB16" s="16">
        <v>0.21</v>
      </c>
      <c r="EC16" s="16">
        <v>0.12</v>
      </c>
      <c r="ED16" s="16">
        <v>0.03</v>
      </c>
      <c r="EE16" s="16">
        <v>0.13</v>
      </c>
      <c r="EF16" s="16">
        <v>0.24</v>
      </c>
      <c r="EG16" s="16">
        <v>0.2</v>
      </c>
      <c r="EH16" s="16">
        <v>0.2</v>
      </c>
      <c r="EI16" s="16">
        <v>0.14000000000000001</v>
      </c>
      <c r="EJ16" s="16">
        <v>0.23</v>
      </c>
      <c r="EK16" s="16">
        <v>0.18</v>
      </c>
      <c r="EL16" s="16">
        <v>0.02</v>
      </c>
      <c r="EM16" s="16">
        <v>0.17</v>
      </c>
      <c r="EN16" s="16">
        <v>0.12</v>
      </c>
      <c r="EO16" s="16">
        <v>0.05</v>
      </c>
      <c r="EP16" s="16">
        <v>0</v>
      </c>
      <c r="EQ16" s="16">
        <v>0.04</v>
      </c>
      <c r="ER16" s="16">
        <v>0.19</v>
      </c>
      <c r="ES16" s="16">
        <v>0.06</v>
      </c>
      <c r="ET16" s="16">
        <v>0.11</v>
      </c>
      <c r="EU16" s="16">
        <v>0.17</v>
      </c>
      <c r="EV16" s="16">
        <v>0.23</v>
      </c>
      <c r="EW16" s="16">
        <v>0.11</v>
      </c>
      <c r="EX16" s="16">
        <v>0.17</v>
      </c>
      <c r="EY16" s="16">
        <v>0.18</v>
      </c>
      <c r="EZ16" s="16">
        <v>0.02</v>
      </c>
      <c r="FA16" s="16">
        <v>0.11</v>
      </c>
      <c r="FB16" s="16">
        <v>0.02</v>
      </c>
      <c r="FC16" s="16">
        <v>0.2</v>
      </c>
      <c r="FD16" s="16">
        <v>0.08</v>
      </c>
      <c r="FE16" s="16">
        <v>0.23</v>
      </c>
      <c r="FF16" s="16">
        <v>0.24</v>
      </c>
      <c r="FG16" s="16">
        <v>0.23</v>
      </c>
      <c r="FH16" s="16">
        <v>0.22</v>
      </c>
      <c r="FI16" s="16">
        <v>0.21</v>
      </c>
      <c r="FJ16" s="16">
        <v>0.02</v>
      </c>
      <c r="FK16" s="16">
        <v>0.09</v>
      </c>
      <c r="FL16" s="16">
        <v>0.25</v>
      </c>
      <c r="FM16" s="16">
        <v>0.22</v>
      </c>
      <c r="FN16" s="16">
        <v>0.23</v>
      </c>
      <c r="FO16" s="16">
        <v>0.15</v>
      </c>
      <c r="FP16" s="16">
        <v>0.13</v>
      </c>
      <c r="FQ16" s="16">
        <v>0.02</v>
      </c>
      <c r="FR16" s="16">
        <v>0.18</v>
      </c>
      <c r="FS16" s="16">
        <v>0.14000000000000001</v>
      </c>
      <c r="FT16" s="16">
        <v>0.24</v>
      </c>
      <c r="FU16" s="16">
        <v>0.03</v>
      </c>
      <c r="FV16" s="16">
        <v>0.1</v>
      </c>
      <c r="FW16" s="16">
        <v>0.11</v>
      </c>
      <c r="FX16" s="16">
        <v>0.1</v>
      </c>
      <c r="FY16" s="16">
        <v>0.02</v>
      </c>
      <c r="FZ16" s="16">
        <v>0.18</v>
      </c>
      <c r="GA16" s="16">
        <v>0.15</v>
      </c>
      <c r="GB16" s="16">
        <v>0.16</v>
      </c>
      <c r="GC16" s="16">
        <v>0.02</v>
      </c>
      <c r="GD16" s="16">
        <v>0.06</v>
      </c>
      <c r="GE16" s="16">
        <v>7.0000000000000007E-2</v>
      </c>
      <c r="GF16" s="16">
        <v>0.02</v>
      </c>
      <c r="GG16" s="16">
        <v>0.18</v>
      </c>
      <c r="GH16" s="16">
        <v>0.06</v>
      </c>
      <c r="GI16" s="16">
        <v>0.14000000000000001</v>
      </c>
      <c r="GJ16" s="16">
        <v>0.18</v>
      </c>
      <c r="GK16" s="16">
        <v>0.05</v>
      </c>
      <c r="GL16" s="16">
        <v>0.22</v>
      </c>
      <c r="GM16" s="16">
        <v>0.14000000000000001</v>
      </c>
      <c r="GN16" s="16">
        <v>7.0000000000000007E-2</v>
      </c>
      <c r="GO16" s="16">
        <v>0.17</v>
      </c>
      <c r="GP16" s="16">
        <v>0.22</v>
      </c>
      <c r="GQ16" s="16">
        <v>0.02</v>
      </c>
      <c r="GR16" s="16">
        <v>0.22</v>
      </c>
      <c r="GS16" s="16">
        <v>0.03</v>
      </c>
    </row>
    <row r="17" spans="1:201" x14ac:dyDescent="0.3">
      <c r="A17" s="15" t="s">
        <v>12</v>
      </c>
      <c r="B17" s="16">
        <v>15106.38</v>
      </c>
      <c r="C17" s="16">
        <v>23572.63</v>
      </c>
      <c r="D17" s="16">
        <v>4078.38</v>
      </c>
      <c r="E17" s="16">
        <v>27212.31</v>
      </c>
      <c r="F17" s="16">
        <v>15518.61</v>
      </c>
      <c r="G17" s="16">
        <v>9746.4599999999991</v>
      </c>
      <c r="H17" s="16">
        <v>24472.12</v>
      </c>
      <c r="I17" s="16">
        <v>8411.58</v>
      </c>
      <c r="J17" s="16">
        <v>5549.91</v>
      </c>
      <c r="K17" s="16">
        <v>6613.21</v>
      </c>
      <c r="L17" s="16">
        <v>17088.96</v>
      </c>
      <c r="M17" s="16">
        <v>3260.06</v>
      </c>
      <c r="N17" s="16">
        <v>14371.46</v>
      </c>
      <c r="O17" s="16">
        <v>5696.45</v>
      </c>
      <c r="P17" s="16">
        <v>14384.24</v>
      </c>
      <c r="Q17" s="16">
        <v>5015.54</v>
      </c>
      <c r="R17" s="16">
        <v>21774.79</v>
      </c>
      <c r="S17" s="16">
        <v>24882.43</v>
      </c>
      <c r="T17" s="16">
        <v>11298.67</v>
      </c>
      <c r="U17" s="16">
        <v>12235.62</v>
      </c>
      <c r="V17" s="16">
        <v>17024.38</v>
      </c>
      <c r="W17" s="16">
        <v>16801.98</v>
      </c>
      <c r="X17" s="16">
        <v>2000.65</v>
      </c>
      <c r="Y17" s="16">
        <v>22616.54</v>
      </c>
      <c r="Z17" s="16">
        <v>20796.439999999999</v>
      </c>
      <c r="AA17" s="16">
        <v>25409.8</v>
      </c>
      <c r="AB17" s="16">
        <v>11948.81</v>
      </c>
      <c r="AC17" s="16">
        <v>24651.86</v>
      </c>
      <c r="AD17" s="16">
        <v>14506.28</v>
      </c>
      <c r="AE17" s="16">
        <v>4688.53</v>
      </c>
      <c r="AF17" s="16">
        <v>7087.45</v>
      </c>
      <c r="AG17" s="16">
        <v>18116.22</v>
      </c>
      <c r="AH17" s="16">
        <v>15249.75</v>
      </c>
      <c r="AI17" s="16">
        <v>21216.16</v>
      </c>
      <c r="AJ17" s="16">
        <v>22649.79</v>
      </c>
      <c r="AK17" s="16">
        <v>6459.57</v>
      </c>
      <c r="AL17" s="16">
        <v>11306.24</v>
      </c>
      <c r="AM17" s="16">
        <v>25571.35</v>
      </c>
      <c r="AN17" s="16">
        <v>12412.27</v>
      </c>
      <c r="AO17" s="16">
        <v>7224.21</v>
      </c>
      <c r="AP17" s="16">
        <v>21732.18</v>
      </c>
      <c r="AQ17" s="16">
        <v>12801.22</v>
      </c>
      <c r="AR17" s="16">
        <v>8553.74</v>
      </c>
      <c r="AS17" s="16">
        <v>13777.95</v>
      </c>
      <c r="AT17" s="16">
        <v>10471.290000000001</v>
      </c>
      <c r="AU17" s="16">
        <v>8663.89</v>
      </c>
      <c r="AV17" s="16">
        <v>15217.58</v>
      </c>
      <c r="AW17" s="16">
        <v>25648.49</v>
      </c>
      <c r="AX17" s="16">
        <v>13591.84</v>
      </c>
      <c r="AY17" s="16">
        <v>4080.36</v>
      </c>
      <c r="AZ17" s="16">
        <v>13054.03</v>
      </c>
      <c r="BA17" s="16">
        <v>9884.32</v>
      </c>
      <c r="BB17" s="16">
        <v>11687.07</v>
      </c>
      <c r="BC17" s="16">
        <v>5613.71</v>
      </c>
      <c r="BD17" s="16">
        <v>22751.18</v>
      </c>
      <c r="BE17" s="16">
        <v>5351.07</v>
      </c>
      <c r="BF17" s="16">
        <v>1843.25</v>
      </c>
      <c r="BG17" s="16">
        <v>23621.32</v>
      </c>
      <c r="BH17" s="16">
        <v>18659.68</v>
      </c>
      <c r="BI17" s="16">
        <v>8470.9699999999993</v>
      </c>
      <c r="BJ17" s="16">
        <v>5790.12</v>
      </c>
      <c r="BK17" s="16">
        <v>18552.82</v>
      </c>
      <c r="BL17" s="16">
        <v>27203.08</v>
      </c>
      <c r="BM17" s="16">
        <v>8141.96</v>
      </c>
      <c r="BN17" s="16">
        <v>16073.03</v>
      </c>
      <c r="BO17" s="16">
        <v>8460.58</v>
      </c>
      <c r="BP17" s="16">
        <v>18037.88</v>
      </c>
      <c r="BQ17" s="16">
        <v>13754.28</v>
      </c>
      <c r="BR17" s="16">
        <v>10527.31</v>
      </c>
      <c r="BS17" s="16">
        <v>14648.13</v>
      </c>
      <c r="BT17" s="16">
        <v>15498.97</v>
      </c>
      <c r="BU17" s="16">
        <v>6897.54</v>
      </c>
      <c r="BV17" s="16">
        <v>9765.33</v>
      </c>
      <c r="BW17" s="16">
        <v>24985.72</v>
      </c>
      <c r="BX17" s="16">
        <v>25574.07</v>
      </c>
      <c r="BY17" s="16">
        <v>12565.75</v>
      </c>
      <c r="BZ17" s="16">
        <v>19967.21</v>
      </c>
      <c r="CA17" s="16">
        <v>5001.17</v>
      </c>
      <c r="CB17" s="16">
        <v>11085.73</v>
      </c>
      <c r="CC17" s="16">
        <v>20768.560000000001</v>
      </c>
      <c r="CD17" s="16">
        <v>4805.2299999999996</v>
      </c>
      <c r="CE17" s="16">
        <v>23554.76</v>
      </c>
      <c r="CF17" s="16">
        <v>25857.56</v>
      </c>
      <c r="CG17" s="16">
        <v>23532.89</v>
      </c>
      <c r="CH17" s="16">
        <v>12287.36</v>
      </c>
      <c r="CI17" s="16">
        <v>3287.89</v>
      </c>
      <c r="CJ17" s="16">
        <v>8639.69</v>
      </c>
      <c r="CK17" s="16">
        <v>24314.77</v>
      </c>
      <c r="CL17" s="16">
        <v>13911.01</v>
      </c>
      <c r="CM17" s="16">
        <v>22399.82</v>
      </c>
      <c r="CN17" s="16">
        <v>7330.44</v>
      </c>
      <c r="CO17" s="16">
        <v>26043.93</v>
      </c>
      <c r="CP17" s="16">
        <v>25759.09</v>
      </c>
      <c r="CQ17" s="16">
        <v>17239.07</v>
      </c>
      <c r="CR17" s="16">
        <v>5457.25</v>
      </c>
      <c r="CS17" s="16">
        <v>6044.3</v>
      </c>
      <c r="CT17" s="16">
        <v>2748.49</v>
      </c>
      <c r="CU17" s="16">
        <v>2236.52</v>
      </c>
      <c r="CV17" s="16">
        <v>22494.94</v>
      </c>
      <c r="CW17" s="16">
        <v>13974.28</v>
      </c>
      <c r="CX17" s="16">
        <v>21765.95</v>
      </c>
      <c r="CY17" s="16">
        <v>6733.55</v>
      </c>
      <c r="CZ17" s="16">
        <v>10207.64</v>
      </c>
      <c r="DA17" s="16">
        <v>20610.95</v>
      </c>
      <c r="DB17" s="16">
        <v>28479.01</v>
      </c>
      <c r="DC17" s="16">
        <v>3311.5</v>
      </c>
      <c r="DD17" s="16">
        <v>23333.42</v>
      </c>
      <c r="DE17" s="16">
        <v>13583.32</v>
      </c>
      <c r="DF17" s="16">
        <v>591.79999999999995</v>
      </c>
      <c r="DG17" s="16">
        <v>13943.8</v>
      </c>
      <c r="DH17" s="16">
        <v>9982.1200000000008</v>
      </c>
      <c r="DI17" s="16">
        <v>10678.86</v>
      </c>
      <c r="DJ17" s="16">
        <v>25016.65</v>
      </c>
      <c r="DK17" s="16">
        <v>20511.25</v>
      </c>
      <c r="DL17" s="16">
        <v>1854.85</v>
      </c>
      <c r="DM17" s="16">
        <v>17865.169999999998</v>
      </c>
      <c r="DN17" s="16">
        <v>1086.93</v>
      </c>
      <c r="DO17" s="16">
        <v>24972.52</v>
      </c>
      <c r="DP17" s="16">
        <v>16674.18</v>
      </c>
      <c r="DQ17" s="16">
        <v>16247.13</v>
      </c>
      <c r="DR17" s="16">
        <v>1077.07</v>
      </c>
      <c r="DS17" s="16">
        <v>2661.2</v>
      </c>
      <c r="DT17" s="16">
        <v>12501.28</v>
      </c>
      <c r="DU17" s="16">
        <v>9669.64</v>
      </c>
      <c r="DV17" s="16">
        <v>25926.92</v>
      </c>
      <c r="DW17" s="16">
        <v>8202.1200000000008</v>
      </c>
      <c r="DX17" s="16">
        <v>13937.26</v>
      </c>
      <c r="DY17" s="16">
        <v>3893.3</v>
      </c>
      <c r="DZ17" s="16">
        <v>13692.09</v>
      </c>
      <c r="EA17" s="16">
        <v>25913.8</v>
      </c>
      <c r="EB17" s="16">
        <v>9450.7999999999993</v>
      </c>
      <c r="EC17" s="16">
        <v>24936.36</v>
      </c>
      <c r="ED17" s="16">
        <v>4337.78</v>
      </c>
      <c r="EE17" s="16">
        <v>25271.85</v>
      </c>
      <c r="EF17" s="16">
        <v>15886.03</v>
      </c>
      <c r="EG17" s="16">
        <v>4690.6000000000004</v>
      </c>
      <c r="EH17" s="16">
        <v>26334.01</v>
      </c>
      <c r="EI17" s="16">
        <v>29019.23</v>
      </c>
      <c r="EJ17" s="16">
        <v>5031.0200000000004</v>
      </c>
      <c r="EK17" s="16">
        <v>4443.21</v>
      </c>
      <c r="EL17" s="16">
        <v>7495.64</v>
      </c>
      <c r="EM17" s="16">
        <v>12281.31</v>
      </c>
      <c r="EN17" s="16">
        <v>25566.02</v>
      </c>
      <c r="EO17" s="16">
        <v>29204.15</v>
      </c>
      <c r="EP17" s="16">
        <v>8211.5400000000009</v>
      </c>
      <c r="EQ17" s="16">
        <v>1822.12</v>
      </c>
      <c r="ER17" s="16">
        <v>16810.259999999998</v>
      </c>
      <c r="ES17" s="16">
        <v>13537.59</v>
      </c>
      <c r="ET17" s="16">
        <v>8538.1200000000008</v>
      </c>
      <c r="EU17" s="16">
        <v>13891.4</v>
      </c>
      <c r="EV17" s="16">
        <v>31008.22</v>
      </c>
      <c r="EW17" s="16">
        <v>5480.52</v>
      </c>
      <c r="EX17" s="16">
        <v>8607.1200000000008</v>
      </c>
      <c r="EY17" s="16">
        <v>22468.16</v>
      </c>
      <c r="EZ17" s="16">
        <v>4511.6899999999996</v>
      </c>
      <c r="FA17" s="16">
        <v>3565.82</v>
      </c>
      <c r="FB17" s="16">
        <v>5732.84</v>
      </c>
      <c r="FC17" s="16">
        <v>17149.439999999999</v>
      </c>
      <c r="FD17" s="16">
        <v>3255.9</v>
      </c>
      <c r="FE17" s="16">
        <v>2650.34</v>
      </c>
      <c r="FF17" s="16">
        <v>19703.29</v>
      </c>
      <c r="FG17" s="16">
        <v>22817.03</v>
      </c>
      <c r="FH17" s="16">
        <v>24217.46</v>
      </c>
      <c r="FI17" s="16">
        <v>14030.24</v>
      </c>
      <c r="FJ17" s="16">
        <v>20670.189999999999</v>
      </c>
      <c r="FK17" s="16">
        <v>5570.71</v>
      </c>
      <c r="FL17" s="16">
        <v>14154.85</v>
      </c>
      <c r="FM17" s="16">
        <v>12810.4</v>
      </c>
      <c r="FN17" s="16">
        <v>13073.91</v>
      </c>
      <c r="FO17" s="16">
        <v>5913.67</v>
      </c>
      <c r="FP17" s="16">
        <v>4148.12</v>
      </c>
      <c r="FQ17" s="16">
        <v>26174.9</v>
      </c>
      <c r="FR17" s="16">
        <v>9886.14</v>
      </c>
      <c r="FS17" s="16">
        <v>13845.89</v>
      </c>
      <c r="FT17" s="16">
        <v>27041.42</v>
      </c>
      <c r="FU17" s="16">
        <v>10041.31</v>
      </c>
      <c r="FV17" s="16">
        <v>10604.87</v>
      </c>
      <c r="FW17" s="16">
        <v>13596.47</v>
      </c>
      <c r="FX17" s="16">
        <v>2056.44</v>
      </c>
      <c r="FY17" s="16">
        <v>1348.25</v>
      </c>
      <c r="FZ17" s="16">
        <v>16578.2</v>
      </c>
      <c r="GA17" s="16">
        <v>11260.6</v>
      </c>
      <c r="GB17" s="16">
        <v>3155.59</v>
      </c>
      <c r="GC17" s="16">
        <v>8970.93</v>
      </c>
      <c r="GD17" s="16">
        <v>21873.82</v>
      </c>
      <c r="GE17" s="16">
        <v>24809.83</v>
      </c>
      <c r="GF17" s="16">
        <v>13606.49</v>
      </c>
      <c r="GG17" s="16">
        <v>5443.7</v>
      </c>
      <c r="GH17" s="16">
        <v>20279.150000000001</v>
      </c>
      <c r="GI17" s="16">
        <v>6372.05</v>
      </c>
      <c r="GJ17" s="16">
        <v>21188.31</v>
      </c>
      <c r="GK17" s="16">
        <v>4987.7299999999996</v>
      </c>
      <c r="GL17" s="16">
        <v>28628.36</v>
      </c>
      <c r="GM17" s="16">
        <v>24023.38</v>
      </c>
      <c r="GN17" s="16">
        <v>11707.12</v>
      </c>
      <c r="GO17" s="16">
        <v>11865.31</v>
      </c>
      <c r="GP17" s="16">
        <v>12908.99</v>
      </c>
      <c r="GQ17" s="16">
        <v>19697.009999999998</v>
      </c>
      <c r="GR17" s="16">
        <v>18119.66</v>
      </c>
      <c r="GS17" s="16">
        <v>16368.5</v>
      </c>
    </row>
    <row r="18" spans="1:201" x14ac:dyDescent="0.3">
      <c r="A18" s="15" t="s">
        <v>13</v>
      </c>
      <c r="B18" s="16">
        <v>4906.33</v>
      </c>
      <c r="C18" s="16">
        <v>8954.1</v>
      </c>
      <c r="D18" s="16">
        <v>849.13</v>
      </c>
      <c r="E18" s="16">
        <v>10876.52</v>
      </c>
      <c r="F18" s="16">
        <v>3500.18</v>
      </c>
      <c r="G18" s="16">
        <v>4054.21</v>
      </c>
      <c r="H18" s="16">
        <v>6846.84</v>
      </c>
      <c r="I18" s="16">
        <v>2442.15</v>
      </c>
      <c r="J18" s="16">
        <v>990.41</v>
      </c>
      <c r="K18" s="16">
        <v>4305.16</v>
      </c>
      <c r="L18" s="16">
        <v>10074.25</v>
      </c>
      <c r="M18" s="16">
        <v>1486.12</v>
      </c>
      <c r="N18" s="16">
        <v>4119.8599999999997</v>
      </c>
      <c r="O18" s="16">
        <v>4337.4799999999996</v>
      </c>
      <c r="P18" s="16">
        <v>7806.34</v>
      </c>
      <c r="Q18" s="16">
        <v>1205.05</v>
      </c>
      <c r="R18" s="16">
        <v>9364.69</v>
      </c>
      <c r="S18" s="16">
        <v>12134.94</v>
      </c>
      <c r="T18" s="16">
        <v>2020.21</v>
      </c>
      <c r="U18" s="16">
        <v>2459.94</v>
      </c>
      <c r="V18" s="16">
        <v>7220.56</v>
      </c>
      <c r="W18" s="16">
        <v>12959.7</v>
      </c>
      <c r="X18" s="16">
        <v>1083.68</v>
      </c>
      <c r="Y18" s="16">
        <v>4634.7700000000004</v>
      </c>
      <c r="Z18" s="16">
        <v>11922.09</v>
      </c>
      <c r="AA18" s="16">
        <v>6457.03</v>
      </c>
      <c r="AB18" s="16">
        <v>6044.36</v>
      </c>
      <c r="AC18" s="16">
        <v>8400.74</v>
      </c>
      <c r="AD18" s="16">
        <v>7739.13</v>
      </c>
      <c r="AE18" s="16">
        <v>3431.09</v>
      </c>
      <c r="AF18" s="16">
        <v>4913.43</v>
      </c>
      <c r="AG18" s="16">
        <v>5919.03</v>
      </c>
      <c r="AH18" s="16">
        <v>7207.26</v>
      </c>
      <c r="AI18" s="16">
        <v>11028.84</v>
      </c>
      <c r="AJ18" s="16">
        <v>6174.03</v>
      </c>
      <c r="AK18" s="16">
        <v>2692.39</v>
      </c>
      <c r="AL18" s="16">
        <v>5071.3</v>
      </c>
      <c r="AM18" s="16">
        <v>5729.16</v>
      </c>
      <c r="AN18" s="16">
        <v>6345.96</v>
      </c>
      <c r="AO18" s="16">
        <v>2396.98</v>
      </c>
      <c r="AP18" s="16">
        <v>15801.93</v>
      </c>
      <c r="AQ18" s="16">
        <v>5602.54</v>
      </c>
      <c r="AR18" s="16">
        <v>4348.3599999999997</v>
      </c>
      <c r="AS18" s="16">
        <v>7063.37</v>
      </c>
      <c r="AT18" s="16">
        <v>2124.71</v>
      </c>
      <c r="AU18" s="16">
        <v>2735.15</v>
      </c>
      <c r="AV18" s="16">
        <v>11514.47</v>
      </c>
      <c r="AW18" s="16">
        <v>6324.66</v>
      </c>
      <c r="AX18" s="16">
        <v>3234.36</v>
      </c>
      <c r="AY18" s="16">
        <v>3028.49</v>
      </c>
      <c r="AZ18" s="16">
        <v>6397.15</v>
      </c>
      <c r="BA18" s="16">
        <v>6658.43</v>
      </c>
      <c r="BB18" s="16">
        <v>6192.81</v>
      </c>
      <c r="BC18" s="16">
        <v>4589.43</v>
      </c>
      <c r="BD18" s="16">
        <v>8217.0400000000009</v>
      </c>
      <c r="BE18" s="16">
        <v>3376.25</v>
      </c>
      <c r="BF18" s="16">
        <v>471.69</v>
      </c>
      <c r="BG18" s="16">
        <v>4623.13</v>
      </c>
      <c r="BH18" s="16">
        <v>11246.36</v>
      </c>
      <c r="BI18" s="16">
        <v>1688.4</v>
      </c>
      <c r="BJ18" s="16">
        <v>1807.39</v>
      </c>
      <c r="BK18" s="16">
        <v>5004.01</v>
      </c>
      <c r="BL18" s="16">
        <v>9646.43</v>
      </c>
      <c r="BM18" s="16">
        <v>2614.19</v>
      </c>
      <c r="BN18" s="16">
        <v>5895.13</v>
      </c>
      <c r="BO18" s="16">
        <v>2703.05</v>
      </c>
      <c r="BP18" s="16">
        <v>11834.71</v>
      </c>
      <c r="BQ18" s="16">
        <v>5355.9</v>
      </c>
      <c r="BR18" s="16">
        <v>5127.78</v>
      </c>
      <c r="BS18" s="16">
        <v>11872.58</v>
      </c>
      <c r="BT18" s="16">
        <v>6132.68</v>
      </c>
      <c r="BU18" s="16">
        <v>1787.51</v>
      </c>
      <c r="BV18" s="16">
        <v>7350.19</v>
      </c>
      <c r="BW18" s="16">
        <v>13308.83</v>
      </c>
      <c r="BX18" s="16">
        <v>6630.43</v>
      </c>
      <c r="BY18" s="16">
        <v>8308.91</v>
      </c>
      <c r="BZ18" s="16">
        <v>6722.95</v>
      </c>
      <c r="CA18" s="16">
        <v>1379.79</v>
      </c>
      <c r="CB18" s="16">
        <v>5911.45</v>
      </c>
      <c r="CC18" s="16">
        <v>15108.24</v>
      </c>
      <c r="CD18" s="16">
        <v>3369.09</v>
      </c>
      <c r="CE18" s="16">
        <v>15736.56</v>
      </c>
      <c r="CF18" s="16">
        <v>8188.39</v>
      </c>
      <c r="CG18" s="16">
        <v>4163.33</v>
      </c>
      <c r="CH18" s="16">
        <v>3158.71</v>
      </c>
      <c r="CI18" s="16">
        <v>1121.55</v>
      </c>
      <c r="CJ18" s="16">
        <v>3711.92</v>
      </c>
      <c r="CK18" s="16">
        <v>5532.29</v>
      </c>
      <c r="CL18" s="16">
        <v>3416.55</v>
      </c>
      <c r="CM18" s="16">
        <v>9873.31</v>
      </c>
      <c r="CN18" s="16">
        <v>1928.78</v>
      </c>
      <c r="CO18" s="16">
        <v>7046.92</v>
      </c>
      <c r="CP18" s="16">
        <v>8757.2800000000007</v>
      </c>
      <c r="CQ18" s="16">
        <v>11871.06</v>
      </c>
      <c r="CR18" s="16">
        <v>3340.1</v>
      </c>
      <c r="CS18" s="16">
        <v>3493.04</v>
      </c>
      <c r="CT18" s="16">
        <v>571.85</v>
      </c>
      <c r="CU18" s="16">
        <v>574.49</v>
      </c>
      <c r="CV18" s="16">
        <v>7276.59</v>
      </c>
      <c r="CW18" s="16">
        <v>6093.17</v>
      </c>
      <c r="CX18" s="16">
        <v>8885.2900000000009</v>
      </c>
      <c r="CY18" s="16">
        <v>5150.1000000000004</v>
      </c>
      <c r="CZ18" s="16">
        <v>4126.82</v>
      </c>
      <c r="DA18" s="16">
        <v>15261.43</v>
      </c>
      <c r="DB18" s="16">
        <v>11418.42</v>
      </c>
      <c r="DC18" s="16">
        <v>1477.33</v>
      </c>
      <c r="DD18" s="16">
        <v>8013.26</v>
      </c>
      <c r="DE18" s="16">
        <v>9017.7000000000007</v>
      </c>
      <c r="DF18" s="16">
        <v>386.51</v>
      </c>
      <c r="DG18" s="16">
        <v>11024.97</v>
      </c>
      <c r="DH18" s="16">
        <v>1791.06</v>
      </c>
      <c r="DI18" s="16">
        <v>3863.21</v>
      </c>
      <c r="DJ18" s="16">
        <v>13779.08</v>
      </c>
      <c r="DK18" s="16">
        <v>9401.7199999999993</v>
      </c>
      <c r="DL18" s="16">
        <v>1082.4000000000001</v>
      </c>
      <c r="DM18" s="16">
        <v>9629.08</v>
      </c>
      <c r="DN18" s="16">
        <v>222.5</v>
      </c>
      <c r="DO18" s="16">
        <v>10566.28</v>
      </c>
      <c r="DP18" s="16">
        <v>7515.77</v>
      </c>
      <c r="DQ18" s="16">
        <v>9281.07</v>
      </c>
      <c r="DR18" s="16">
        <v>367.72</v>
      </c>
      <c r="DS18" s="16">
        <v>1423.21</v>
      </c>
      <c r="DT18" s="16">
        <v>8923.91</v>
      </c>
      <c r="DU18" s="16">
        <v>6094.36</v>
      </c>
      <c r="DV18" s="16">
        <v>6950.26</v>
      </c>
      <c r="DW18" s="16">
        <v>3729.59</v>
      </c>
      <c r="DX18" s="16">
        <v>2529.63</v>
      </c>
      <c r="DY18" s="16">
        <v>1610.65</v>
      </c>
      <c r="DZ18" s="16">
        <v>6820.45</v>
      </c>
      <c r="EA18" s="16">
        <v>12323.05</v>
      </c>
      <c r="EB18" s="16">
        <v>1772.36</v>
      </c>
      <c r="EC18" s="16">
        <v>6864.24</v>
      </c>
      <c r="ED18" s="16">
        <v>2889.3</v>
      </c>
      <c r="EE18" s="16">
        <v>10255.549999999999</v>
      </c>
      <c r="EF18" s="16">
        <v>5009.1899999999996</v>
      </c>
      <c r="EG18" s="16">
        <v>1041.08</v>
      </c>
      <c r="EH18" s="16">
        <v>5147.7</v>
      </c>
      <c r="EI18" s="16">
        <v>6574.17</v>
      </c>
      <c r="EJ18" s="16">
        <v>1455.38</v>
      </c>
      <c r="EK18" s="16">
        <v>959.49</v>
      </c>
      <c r="EL18" s="16">
        <v>3158.79</v>
      </c>
      <c r="EM18" s="16">
        <v>8704.67</v>
      </c>
      <c r="EN18" s="16">
        <v>12478.31</v>
      </c>
      <c r="EO18" s="16">
        <v>5331.34</v>
      </c>
      <c r="EP18" s="16">
        <v>5313.8</v>
      </c>
      <c r="EQ18" s="16">
        <v>438.47</v>
      </c>
      <c r="ER18" s="16">
        <v>7341.49</v>
      </c>
      <c r="ES18" s="16">
        <v>9793.08</v>
      </c>
      <c r="ET18" s="16">
        <v>1730.16</v>
      </c>
      <c r="EU18" s="16">
        <v>10568.18</v>
      </c>
      <c r="EV18" s="16">
        <v>8270.2800000000007</v>
      </c>
      <c r="EW18" s="16">
        <v>979.45</v>
      </c>
      <c r="EX18" s="16">
        <v>4533.13</v>
      </c>
      <c r="EY18" s="16">
        <v>11570.84</v>
      </c>
      <c r="EZ18" s="16">
        <v>2527.9699999999998</v>
      </c>
      <c r="FA18" s="16">
        <v>2281.92</v>
      </c>
      <c r="FB18" s="16">
        <v>1810.42</v>
      </c>
      <c r="FC18" s="16">
        <v>13822.7</v>
      </c>
      <c r="FD18" s="16">
        <v>2539.36</v>
      </c>
      <c r="FE18" s="16">
        <v>1721.74</v>
      </c>
      <c r="FF18" s="16">
        <v>5673.43</v>
      </c>
      <c r="FG18" s="16">
        <v>8042.71</v>
      </c>
      <c r="FH18" s="16">
        <v>6231.32</v>
      </c>
      <c r="FI18" s="16">
        <v>3747.39</v>
      </c>
      <c r="FJ18" s="16">
        <v>16060.54</v>
      </c>
      <c r="FK18" s="16">
        <v>1143.5999999999999</v>
      </c>
      <c r="FL18" s="16">
        <v>3952.79</v>
      </c>
      <c r="FM18" s="16">
        <v>2465.66</v>
      </c>
      <c r="FN18" s="16">
        <v>9136.58</v>
      </c>
      <c r="FO18" s="16">
        <v>2462.21</v>
      </c>
      <c r="FP18" s="16">
        <v>2419.1</v>
      </c>
      <c r="FQ18" s="16">
        <v>13172.75</v>
      </c>
      <c r="FR18" s="16">
        <v>2757.21</v>
      </c>
      <c r="FS18" s="16">
        <v>6542.42</v>
      </c>
      <c r="FT18" s="16">
        <v>9676.2999999999993</v>
      </c>
      <c r="FU18" s="16">
        <v>2622.64</v>
      </c>
      <c r="FV18" s="16">
        <v>4565.6899999999996</v>
      </c>
      <c r="FW18" s="16">
        <v>9279.2099999999991</v>
      </c>
      <c r="FX18" s="16">
        <v>1411.61</v>
      </c>
      <c r="FY18" s="16">
        <v>368.13</v>
      </c>
      <c r="FZ18" s="16">
        <v>9025.94</v>
      </c>
      <c r="GA18" s="16">
        <v>4077.95</v>
      </c>
      <c r="GB18" s="16">
        <v>760.86</v>
      </c>
      <c r="GC18" s="16">
        <v>3065.27</v>
      </c>
      <c r="GD18" s="16">
        <v>6109.67</v>
      </c>
      <c r="GE18" s="16">
        <v>5766.75</v>
      </c>
      <c r="GF18" s="16">
        <v>7005.04</v>
      </c>
      <c r="GG18" s="16">
        <v>4010.25</v>
      </c>
      <c r="GH18" s="16">
        <v>13429.09</v>
      </c>
      <c r="GI18" s="16">
        <v>2569.52</v>
      </c>
      <c r="GJ18" s="16">
        <v>9282.7800000000007</v>
      </c>
      <c r="GK18" s="16">
        <v>1818.65</v>
      </c>
      <c r="GL18" s="16">
        <v>8817.8799999999992</v>
      </c>
      <c r="GM18" s="16">
        <v>7092.75</v>
      </c>
      <c r="GN18" s="16">
        <v>8741.48</v>
      </c>
      <c r="GO18" s="16">
        <v>5954.2</v>
      </c>
      <c r="GP18" s="16">
        <v>10351.66</v>
      </c>
      <c r="GQ18" s="16">
        <v>7018.67</v>
      </c>
      <c r="GR18" s="16">
        <v>4549.34</v>
      </c>
      <c r="GS18" s="16">
        <v>11707.53</v>
      </c>
    </row>
    <row r="19" spans="1:201" x14ac:dyDescent="0.3">
      <c r="A19" s="15" t="s">
        <v>248</v>
      </c>
      <c r="B19" s="16">
        <f t="shared" ref="B19:AG19" si="0">B14/B15</f>
        <v>3335.4516666666664</v>
      </c>
      <c r="C19" s="16">
        <f t="shared" si="0"/>
        <v>5421.1216666666669</v>
      </c>
      <c r="D19" s="16">
        <f t="shared" si="0"/>
        <v>4927.51</v>
      </c>
      <c r="E19" s="16">
        <f t="shared" si="0"/>
        <v>19044.415000000001</v>
      </c>
      <c r="F19" s="16">
        <f t="shared" si="0"/>
        <v>9509.3950000000004</v>
      </c>
      <c r="G19" s="16">
        <f t="shared" si="0"/>
        <v>2300.1116666666667</v>
      </c>
      <c r="H19" s="16">
        <f t="shared" si="0"/>
        <v>3479.8844444444444</v>
      </c>
      <c r="I19" s="16">
        <f t="shared" si="0"/>
        <v>1085.373</v>
      </c>
      <c r="J19" s="16">
        <f t="shared" si="0"/>
        <v>2180.1066666666666</v>
      </c>
      <c r="K19" s="16">
        <f t="shared" si="0"/>
        <v>2729.5925000000002</v>
      </c>
      <c r="L19" s="16">
        <f t="shared" si="0"/>
        <v>2716.3209999999999</v>
      </c>
      <c r="M19" s="16">
        <f t="shared" si="0"/>
        <v>431.47090909090912</v>
      </c>
      <c r="N19" s="16">
        <f t="shared" si="0"/>
        <v>2054.5911111111109</v>
      </c>
      <c r="O19" s="16">
        <f t="shared" si="0"/>
        <v>10033.93</v>
      </c>
      <c r="P19" s="16">
        <f t="shared" si="0"/>
        <v>3698.4300000000003</v>
      </c>
      <c r="Q19" s="16">
        <f t="shared" si="0"/>
        <v>565.50818181818181</v>
      </c>
      <c r="R19" s="16">
        <f t="shared" si="0"/>
        <v>6227.8959999999997</v>
      </c>
      <c r="S19" s="16">
        <f t="shared" si="0"/>
        <v>37017.370000000003</v>
      </c>
      <c r="T19" s="16">
        <f t="shared" si="0"/>
        <v>4439.6266666666661</v>
      </c>
      <c r="U19" s="16">
        <f t="shared" si="0"/>
        <v>4898.5199999999995</v>
      </c>
      <c r="V19" s="16">
        <f t="shared" si="0"/>
        <v>2693.882222222222</v>
      </c>
      <c r="W19" s="16">
        <f t="shared" si="0"/>
        <v>2976.1680000000001</v>
      </c>
      <c r="X19" s="16">
        <f t="shared" si="0"/>
        <v>771.08249999999998</v>
      </c>
      <c r="Y19" s="16">
        <f t="shared" si="0"/>
        <v>2725.1310000000003</v>
      </c>
      <c r="Z19" s="16">
        <f t="shared" si="0"/>
        <v>4674.0757142857137</v>
      </c>
      <c r="AA19" s="16">
        <f t="shared" si="0"/>
        <v>31866.83</v>
      </c>
      <c r="AB19" s="16">
        <f t="shared" si="0"/>
        <v>17993.169999999998</v>
      </c>
      <c r="AC19" s="16">
        <f t="shared" si="0"/>
        <v>3305.2599999999998</v>
      </c>
      <c r="AD19" s="16">
        <f t="shared" si="0"/>
        <v>2224.5410000000002</v>
      </c>
      <c r="AE19" s="16">
        <f t="shared" si="0"/>
        <v>8119.62</v>
      </c>
      <c r="AF19" s="16">
        <f t="shared" si="0"/>
        <v>2000.1466666666665</v>
      </c>
      <c r="AG19" s="16">
        <f t="shared" si="0"/>
        <v>2185.0227272727275</v>
      </c>
      <c r="AH19" s="16">
        <f t="shared" ref="AH19:BM19" si="1">AH14/AH15</f>
        <v>3208.1442857142856</v>
      </c>
      <c r="AI19" s="16">
        <f t="shared" si="1"/>
        <v>8061.25</v>
      </c>
      <c r="AJ19" s="16">
        <f t="shared" si="1"/>
        <v>4803.97</v>
      </c>
      <c r="AK19" s="16">
        <f t="shared" si="1"/>
        <v>3050.6533333333332</v>
      </c>
      <c r="AL19" s="16">
        <f t="shared" si="1"/>
        <v>1637.7540000000001</v>
      </c>
      <c r="AM19" s="16">
        <f t="shared" si="1"/>
        <v>7825.1274999999996</v>
      </c>
      <c r="AN19" s="16">
        <f t="shared" si="1"/>
        <v>3751.6459999999997</v>
      </c>
      <c r="AO19" s="16">
        <f t="shared" si="1"/>
        <v>1603.5316666666668</v>
      </c>
      <c r="AP19" s="16">
        <f t="shared" si="1"/>
        <v>37534.11</v>
      </c>
      <c r="AQ19" s="16">
        <f t="shared" si="1"/>
        <v>3067.2933333333331</v>
      </c>
      <c r="AR19" s="16">
        <f t="shared" si="1"/>
        <v>1612.7625</v>
      </c>
      <c r="AS19" s="16">
        <f t="shared" si="1"/>
        <v>3473.5533333333333</v>
      </c>
      <c r="AT19" s="16">
        <f t="shared" si="1"/>
        <v>1799.4285714285713</v>
      </c>
      <c r="AU19" s="16">
        <f t="shared" si="1"/>
        <v>1424.88</v>
      </c>
      <c r="AV19" s="16">
        <f t="shared" si="1"/>
        <v>4455.3416666666662</v>
      </c>
      <c r="AW19" s="16">
        <f t="shared" si="1"/>
        <v>7993.2875000000004</v>
      </c>
      <c r="AX19" s="16">
        <f t="shared" si="1"/>
        <v>4206.55</v>
      </c>
      <c r="AY19" s="16">
        <f t="shared" si="1"/>
        <v>710.88499999999999</v>
      </c>
      <c r="AZ19" s="16">
        <f t="shared" si="1"/>
        <v>1768.2890909090909</v>
      </c>
      <c r="BA19" s="16">
        <f t="shared" si="1"/>
        <v>2363.25</v>
      </c>
      <c r="BB19" s="16">
        <f t="shared" si="1"/>
        <v>1787.9880000000001</v>
      </c>
      <c r="BC19" s="16">
        <f t="shared" si="1"/>
        <v>2040.6279999999999</v>
      </c>
      <c r="BD19" s="16">
        <f t="shared" si="1"/>
        <v>3871.0275000000001</v>
      </c>
      <c r="BE19" s="16">
        <f t="shared" si="1"/>
        <v>2909.1066666666666</v>
      </c>
      <c r="BF19" s="16">
        <f t="shared" si="1"/>
        <v>289.36750000000001</v>
      </c>
      <c r="BG19" s="16">
        <f t="shared" si="1"/>
        <v>3138.2722222222224</v>
      </c>
      <c r="BH19" s="16">
        <f t="shared" si="1"/>
        <v>29906.04</v>
      </c>
      <c r="BI19" s="16">
        <f t="shared" si="1"/>
        <v>923.57909090909095</v>
      </c>
      <c r="BJ19" s="16">
        <f t="shared" si="1"/>
        <v>2532.5033333333336</v>
      </c>
      <c r="BK19" s="16">
        <f t="shared" si="1"/>
        <v>2617.4255555555555</v>
      </c>
      <c r="BL19" s="16">
        <f t="shared" si="1"/>
        <v>12283.17</v>
      </c>
      <c r="BM19" s="16">
        <f t="shared" si="1"/>
        <v>3585.3833333333332</v>
      </c>
      <c r="BN19" s="16">
        <f t="shared" ref="BN19:CS19" si="2">BN14/BN15</f>
        <v>21968.16</v>
      </c>
      <c r="BO19" s="16">
        <f t="shared" si="2"/>
        <v>1395.4537499999999</v>
      </c>
      <c r="BP19" s="16">
        <f t="shared" si="2"/>
        <v>3734.07375</v>
      </c>
      <c r="BQ19" s="16">
        <f t="shared" si="2"/>
        <v>4777.5450000000001</v>
      </c>
      <c r="BR19" s="16">
        <f t="shared" si="2"/>
        <v>2609.1816666666668</v>
      </c>
      <c r="BS19" s="16">
        <f t="shared" si="2"/>
        <v>2410.9736363636362</v>
      </c>
      <c r="BT19" s="16">
        <f t="shared" si="2"/>
        <v>10815.825000000001</v>
      </c>
      <c r="BU19" s="16">
        <f t="shared" si="2"/>
        <v>2895.0166666666664</v>
      </c>
      <c r="BV19" s="16">
        <f t="shared" si="2"/>
        <v>8557.76</v>
      </c>
      <c r="BW19" s="16">
        <f t="shared" si="2"/>
        <v>19147.275000000001</v>
      </c>
      <c r="BX19" s="16">
        <f t="shared" si="2"/>
        <v>6440.9</v>
      </c>
      <c r="BY19" s="16">
        <f t="shared" si="2"/>
        <v>2087.4659999999999</v>
      </c>
      <c r="BZ19" s="16">
        <f t="shared" si="2"/>
        <v>2669.0160000000001</v>
      </c>
      <c r="CA19" s="16">
        <f t="shared" si="2"/>
        <v>1063.4933333333333</v>
      </c>
      <c r="CB19" s="16">
        <f t="shared" si="2"/>
        <v>4249.2950000000001</v>
      </c>
      <c r="CC19" s="16">
        <f t="shared" si="2"/>
        <v>8969.2000000000007</v>
      </c>
      <c r="CD19" s="16">
        <f t="shared" si="2"/>
        <v>8174.32</v>
      </c>
      <c r="CE19" s="16">
        <f t="shared" si="2"/>
        <v>13097.106666666667</v>
      </c>
      <c r="CF19" s="16">
        <f t="shared" si="2"/>
        <v>3095.0863636363633</v>
      </c>
      <c r="CG19" s="16">
        <f t="shared" si="2"/>
        <v>3462.0275000000001</v>
      </c>
      <c r="CH19" s="16">
        <f t="shared" si="2"/>
        <v>5148.6899999999996</v>
      </c>
      <c r="CI19" s="16">
        <f t="shared" si="2"/>
        <v>1102.3599999999999</v>
      </c>
      <c r="CJ19" s="16">
        <f t="shared" si="2"/>
        <v>1122.8736363636365</v>
      </c>
      <c r="CK19" s="16">
        <f t="shared" si="2"/>
        <v>5969.4120000000003</v>
      </c>
      <c r="CL19" s="16">
        <f t="shared" si="2"/>
        <v>2165.9450000000002</v>
      </c>
      <c r="CM19" s="16">
        <f t="shared" si="2"/>
        <v>3227.3130000000001</v>
      </c>
      <c r="CN19" s="16">
        <f t="shared" si="2"/>
        <v>1028.8022222222221</v>
      </c>
      <c r="CO19" s="16">
        <f t="shared" si="2"/>
        <v>33090.85</v>
      </c>
      <c r="CP19" s="16">
        <f t="shared" si="2"/>
        <v>3451.6370000000002</v>
      </c>
      <c r="CQ19" s="16">
        <f t="shared" si="2"/>
        <v>9703.376666666667</v>
      </c>
      <c r="CR19" s="16">
        <f t="shared" si="2"/>
        <v>4398.6750000000002</v>
      </c>
      <c r="CS19" s="16">
        <f t="shared" si="2"/>
        <v>4768.67</v>
      </c>
      <c r="CT19" s="16">
        <f t="shared" ref="CT19:DY19" si="3">CT14/CT15</f>
        <v>301.84909090909093</v>
      </c>
      <c r="CU19" s="16">
        <f t="shared" si="3"/>
        <v>281.101</v>
      </c>
      <c r="CV19" s="16">
        <f t="shared" si="3"/>
        <v>2706.502727272727</v>
      </c>
      <c r="CW19" s="16">
        <f t="shared" si="3"/>
        <v>6689.1500000000005</v>
      </c>
      <c r="CX19" s="16">
        <f t="shared" si="3"/>
        <v>3831.4050000000002</v>
      </c>
      <c r="CY19" s="16">
        <f t="shared" si="3"/>
        <v>3961.2166666666667</v>
      </c>
      <c r="CZ19" s="16">
        <f t="shared" si="3"/>
        <v>14334.46</v>
      </c>
      <c r="DA19" s="16">
        <f t="shared" si="3"/>
        <v>5124.6257142857139</v>
      </c>
      <c r="DB19" s="16">
        <f t="shared" si="3"/>
        <v>3627.0390909090911</v>
      </c>
      <c r="DC19" s="16">
        <f t="shared" si="3"/>
        <v>1596.2766666666666</v>
      </c>
      <c r="DD19" s="16">
        <f t="shared" si="3"/>
        <v>31346.68</v>
      </c>
      <c r="DE19" s="16">
        <f t="shared" si="3"/>
        <v>3228.7171428571428</v>
      </c>
      <c r="DF19" s="16">
        <f t="shared" si="3"/>
        <v>978.31</v>
      </c>
      <c r="DG19" s="16">
        <f t="shared" si="3"/>
        <v>2774.307777777778</v>
      </c>
      <c r="DH19" s="16">
        <f t="shared" si="3"/>
        <v>3924.3933333333334</v>
      </c>
      <c r="DI19" s="16">
        <f t="shared" si="3"/>
        <v>14542.07</v>
      </c>
      <c r="DJ19" s="16">
        <f t="shared" si="3"/>
        <v>38795.730000000003</v>
      </c>
      <c r="DK19" s="16">
        <f t="shared" si="3"/>
        <v>4273.2814285714285</v>
      </c>
      <c r="DL19" s="16">
        <f t="shared" si="3"/>
        <v>293.72500000000002</v>
      </c>
      <c r="DM19" s="16">
        <f t="shared" si="3"/>
        <v>27494.25</v>
      </c>
      <c r="DN19" s="16">
        <f t="shared" si="3"/>
        <v>327.35750000000002</v>
      </c>
      <c r="DO19" s="16">
        <f t="shared" si="3"/>
        <v>5923.1333333333341</v>
      </c>
      <c r="DP19" s="16">
        <f t="shared" si="3"/>
        <v>3023.7437500000001</v>
      </c>
      <c r="DQ19" s="16">
        <f t="shared" si="3"/>
        <v>3646.8857142857146</v>
      </c>
      <c r="DR19" s="16">
        <f t="shared" si="3"/>
        <v>131.34454545454545</v>
      </c>
      <c r="DS19" s="16">
        <f t="shared" si="3"/>
        <v>583.48714285714289</v>
      </c>
      <c r="DT19" s="16">
        <f t="shared" si="3"/>
        <v>2142.5189999999998</v>
      </c>
      <c r="DU19" s="16">
        <f t="shared" si="3"/>
        <v>3941</v>
      </c>
      <c r="DV19" s="16">
        <f t="shared" si="3"/>
        <v>4696.74</v>
      </c>
      <c r="DW19" s="16">
        <f t="shared" si="3"/>
        <v>5965.8549999999996</v>
      </c>
      <c r="DX19" s="16">
        <f t="shared" si="3"/>
        <v>4116.7224999999999</v>
      </c>
      <c r="DY19" s="16">
        <f t="shared" si="3"/>
        <v>550.39499999999998</v>
      </c>
      <c r="DZ19" s="16">
        <f t="shared" ref="DZ19:FE19" si="4">DZ14/DZ15</f>
        <v>2930.3628571428571</v>
      </c>
      <c r="EA19" s="16">
        <f t="shared" si="4"/>
        <v>5462.4071428571424</v>
      </c>
      <c r="EB19" s="16">
        <f t="shared" si="4"/>
        <v>1603.3085714285714</v>
      </c>
      <c r="EC19" s="16">
        <f t="shared" si="4"/>
        <v>4542.9428571428571</v>
      </c>
      <c r="ED19" s="16">
        <f t="shared" si="4"/>
        <v>7227.08</v>
      </c>
      <c r="EE19" s="16">
        <f t="shared" si="4"/>
        <v>5075.3428571428576</v>
      </c>
      <c r="EF19" s="16">
        <f t="shared" si="4"/>
        <v>20895.22</v>
      </c>
      <c r="EG19" s="16">
        <f t="shared" si="4"/>
        <v>818.81142857142856</v>
      </c>
      <c r="EH19" s="16">
        <f t="shared" si="4"/>
        <v>5246.9516666666668</v>
      </c>
      <c r="EI19" s="16">
        <f t="shared" si="4"/>
        <v>5084.7714285714292</v>
      </c>
      <c r="EJ19" s="16">
        <f t="shared" si="4"/>
        <v>589.67272727272723</v>
      </c>
      <c r="EK19" s="16">
        <f t="shared" si="4"/>
        <v>491.15454545454543</v>
      </c>
      <c r="EL19" s="16">
        <f t="shared" si="4"/>
        <v>2663.6075000000001</v>
      </c>
      <c r="EM19" s="16">
        <f t="shared" si="4"/>
        <v>10492.99</v>
      </c>
      <c r="EN19" s="16">
        <f t="shared" si="4"/>
        <v>7608.866</v>
      </c>
      <c r="EO19" s="16">
        <f t="shared" si="4"/>
        <v>5755.915</v>
      </c>
      <c r="EP19" s="16">
        <f t="shared" si="4"/>
        <v>1352.5340000000001</v>
      </c>
      <c r="EQ19" s="16">
        <f t="shared" si="4"/>
        <v>452.11800000000005</v>
      </c>
      <c r="ER19" s="16">
        <f t="shared" si="4"/>
        <v>8050.583333333333</v>
      </c>
      <c r="ES19" s="16">
        <f t="shared" si="4"/>
        <v>2592.2966666666666</v>
      </c>
      <c r="ET19" s="16">
        <f t="shared" si="4"/>
        <v>933.48</v>
      </c>
      <c r="EU19" s="16">
        <f t="shared" si="4"/>
        <v>2445.9580000000001</v>
      </c>
      <c r="EV19" s="16">
        <f t="shared" si="4"/>
        <v>3927.85</v>
      </c>
      <c r="EW19" s="16">
        <f t="shared" si="4"/>
        <v>6459.97</v>
      </c>
      <c r="EX19" s="16">
        <f t="shared" si="4"/>
        <v>1314.0250000000001</v>
      </c>
      <c r="EY19" s="16">
        <f t="shared" si="4"/>
        <v>8509.75</v>
      </c>
      <c r="EZ19" s="16">
        <f t="shared" si="4"/>
        <v>3519.83</v>
      </c>
      <c r="FA19" s="16">
        <f t="shared" si="4"/>
        <v>2923.87</v>
      </c>
      <c r="FB19" s="16">
        <f t="shared" si="4"/>
        <v>685.75090909090909</v>
      </c>
      <c r="FC19" s="16">
        <f t="shared" si="4"/>
        <v>5162.0233333333335</v>
      </c>
      <c r="FD19" s="16">
        <f t="shared" si="4"/>
        <v>2897.63</v>
      </c>
      <c r="FE19" s="16">
        <f t="shared" si="4"/>
        <v>4372.08</v>
      </c>
      <c r="FF19" s="16">
        <f t="shared" ref="FF19:GK19" si="5">FF14/FF15</f>
        <v>2819.6355555555556</v>
      </c>
      <c r="FG19" s="16">
        <f t="shared" si="5"/>
        <v>7714.9350000000004</v>
      </c>
      <c r="FH19" s="16">
        <f t="shared" si="5"/>
        <v>15224.39</v>
      </c>
      <c r="FI19" s="16">
        <f t="shared" si="5"/>
        <v>2539.6614285714286</v>
      </c>
      <c r="FJ19" s="16">
        <f t="shared" si="5"/>
        <v>3339.1572727272728</v>
      </c>
      <c r="FK19" s="16">
        <f t="shared" si="5"/>
        <v>2238.1033333333335</v>
      </c>
      <c r="FL19" s="16">
        <f t="shared" si="5"/>
        <v>1810.7639999999999</v>
      </c>
      <c r="FM19" s="16">
        <f t="shared" si="5"/>
        <v>1388.7327272727273</v>
      </c>
      <c r="FN19" s="16">
        <f t="shared" si="5"/>
        <v>2467.8322222222223</v>
      </c>
      <c r="FO19" s="16">
        <f t="shared" si="5"/>
        <v>1395.9799999999998</v>
      </c>
      <c r="FP19" s="16">
        <f t="shared" si="5"/>
        <v>2189.0733333333333</v>
      </c>
      <c r="FQ19" s="16">
        <f t="shared" si="5"/>
        <v>13115.883333333333</v>
      </c>
      <c r="FR19" s="16">
        <f t="shared" si="5"/>
        <v>3160.8375000000001</v>
      </c>
      <c r="FS19" s="16">
        <f t="shared" si="5"/>
        <v>4077.6620000000003</v>
      </c>
      <c r="FT19" s="16">
        <f t="shared" si="5"/>
        <v>4079.7466666666669</v>
      </c>
      <c r="FU19" s="16">
        <f t="shared" si="5"/>
        <v>1582.9937500000001</v>
      </c>
      <c r="FV19" s="16">
        <f t="shared" si="5"/>
        <v>15170.56</v>
      </c>
      <c r="FW19" s="16">
        <f t="shared" si="5"/>
        <v>3812.6133333333332</v>
      </c>
      <c r="FX19" s="16">
        <f t="shared" si="5"/>
        <v>495.43571428571431</v>
      </c>
      <c r="FY19" s="16">
        <f t="shared" si="5"/>
        <v>572.12666666666667</v>
      </c>
      <c r="FZ19" s="16">
        <f t="shared" si="5"/>
        <v>4267.3566666666666</v>
      </c>
      <c r="GA19" s="16">
        <f t="shared" si="5"/>
        <v>1704.2833333333333</v>
      </c>
      <c r="GB19" s="16">
        <f t="shared" si="5"/>
        <v>435.1611111111111</v>
      </c>
      <c r="GC19" s="16">
        <f t="shared" si="5"/>
        <v>1094.2</v>
      </c>
      <c r="GD19" s="16">
        <f t="shared" si="5"/>
        <v>5596.6980000000003</v>
      </c>
      <c r="GE19" s="16">
        <f t="shared" si="5"/>
        <v>2779.6890909090912</v>
      </c>
      <c r="GF19" s="16">
        <f t="shared" si="5"/>
        <v>5152.8824999999997</v>
      </c>
      <c r="GG19" s="16">
        <f t="shared" si="5"/>
        <v>2363.4875000000002</v>
      </c>
      <c r="GH19" s="16">
        <f t="shared" si="5"/>
        <v>3064.3854545454542</v>
      </c>
      <c r="GI19" s="16">
        <f t="shared" si="5"/>
        <v>1490.2616666666665</v>
      </c>
      <c r="GJ19" s="16">
        <f t="shared" si="5"/>
        <v>15235.545</v>
      </c>
      <c r="GK19" s="16">
        <f t="shared" si="5"/>
        <v>3403.19</v>
      </c>
      <c r="GL19" s="16">
        <f t="shared" ref="GL19:GS19" si="6">GL14/GL15</f>
        <v>7489.2479999999996</v>
      </c>
      <c r="GM19" s="16">
        <f t="shared" si="6"/>
        <v>31116.13</v>
      </c>
      <c r="GN19" s="16">
        <f t="shared" si="6"/>
        <v>2921.2285714285713</v>
      </c>
      <c r="GO19" s="16">
        <f t="shared" si="6"/>
        <v>1781.9509999999998</v>
      </c>
      <c r="GP19" s="16">
        <f t="shared" si="6"/>
        <v>3322.9500000000003</v>
      </c>
      <c r="GQ19" s="16">
        <f t="shared" si="6"/>
        <v>13357.84</v>
      </c>
      <c r="GR19" s="16">
        <f t="shared" si="6"/>
        <v>7556.333333333333</v>
      </c>
      <c r="GS19" s="16">
        <f t="shared" si="6"/>
        <v>14038.014999999999</v>
      </c>
    </row>
    <row r="22" spans="1:201" x14ac:dyDescent="0.3">
      <c r="A22" s="18" t="s">
        <v>0</v>
      </c>
      <c r="B22" s="18" t="s">
        <v>9</v>
      </c>
      <c r="C22" s="18" t="s">
        <v>10</v>
      </c>
      <c r="D22" s="18" t="s">
        <v>13</v>
      </c>
    </row>
    <row r="23" spans="1:201" x14ac:dyDescent="0.3">
      <c r="A23" s="19" t="s">
        <v>33</v>
      </c>
      <c r="B23" s="19">
        <f>HLOOKUP(A23,$A$5:$GS$19,10,0)</f>
        <v>19018.79</v>
      </c>
      <c r="C23" s="19">
        <f>HLOOKUP(A23,A5:GS19,11,0)</f>
        <v>2</v>
      </c>
      <c r="D23" s="19">
        <f>HLOOKUP(A23,A5:GS19,14,0)</f>
        <v>3500.18</v>
      </c>
    </row>
  </sheetData>
  <dataValidations count="1">
    <dataValidation type="list" allowBlank="1" showInputMessage="1" showErrorMessage="1" sqref="A23" xr:uid="{6C9A1C58-4D93-400B-A94B-5C7AD5CC6287}">
      <formula1>$B$5:$GS$5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E5D80-BE8C-42FA-A451-AF91AB660467}">
  <dimension ref="A1:V201"/>
  <sheetViews>
    <sheetView zoomScaleNormal="100" workbookViewId="0">
      <selection activeCell="M19" sqref="M19"/>
    </sheetView>
  </sheetViews>
  <sheetFormatPr defaultRowHeight="14.4" x14ac:dyDescent="0.3"/>
  <cols>
    <col min="4" max="4" width="25.109375" bestFit="1" customWidth="1"/>
    <col min="5" max="5" width="11" bestFit="1" customWidth="1"/>
    <col min="7" max="7" width="17.21875" bestFit="1" customWidth="1"/>
    <col min="8" max="8" width="13.88671875" bestFit="1" customWidth="1"/>
    <col min="9" max="9" width="12" bestFit="1" customWidth="1"/>
    <col min="10" max="10" width="25.109375" bestFit="1" customWidth="1"/>
    <col min="11" max="11" width="10.33203125" bestFit="1" customWidth="1"/>
    <col min="13" max="13" width="11" bestFit="1" customWidth="1"/>
    <col min="14" max="14" width="13.88671875" bestFit="1" customWidth="1"/>
    <col min="15" max="15" width="11" bestFit="1" customWidth="1"/>
    <col min="17" max="17" width="10" bestFit="1" customWidth="1"/>
    <col min="19" max="19" width="9.88671875" bestFit="1" customWidth="1"/>
    <col min="20" max="20" width="13.109375" bestFit="1" customWidth="1"/>
    <col min="21" max="21" width="11" bestFit="1" customWidth="1"/>
    <col min="22" max="23" width="25.109375" bestFit="1" customWidth="1"/>
  </cols>
  <sheetData>
    <row r="1" spans="1:22" x14ac:dyDescent="0.3">
      <c r="A1" s="22" t="s">
        <v>0</v>
      </c>
      <c r="B1" s="22" t="s">
        <v>9</v>
      </c>
      <c r="D1" s="24" t="s">
        <v>6</v>
      </c>
      <c r="E1" s="24" t="s">
        <v>249</v>
      </c>
      <c r="G1" s="24" t="s">
        <v>8</v>
      </c>
      <c r="H1" s="24" t="s">
        <v>250</v>
      </c>
    </row>
    <row r="2" spans="1:22" x14ac:dyDescent="0.3">
      <c r="A2" s="23" t="s">
        <v>14</v>
      </c>
      <c r="B2" s="23">
        <f>SUMIF(Data!A1:A201,'Count &amp; Sum'!A2,Data!J1:J201)</f>
        <v>20012.71</v>
      </c>
      <c r="D2" s="25" t="s">
        <v>18</v>
      </c>
      <c r="E2" s="25">
        <f>SUMIF(Data!G2:G201, D2,Data!J2:J201)</f>
        <v>1449623.48</v>
      </c>
      <c r="G2" s="21" t="s">
        <v>20</v>
      </c>
      <c r="H2" s="21">
        <f>SUMIF(Data!I2:I201,'Count &amp; Sum'!G2,Data!K2:K201)</f>
        <v>482</v>
      </c>
      <c r="J2" s="41" t="s">
        <v>264</v>
      </c>
      <c r="K2" s="41"/>
      <c r="L2" s="41"/>
      <c r="M2" s="41"/>
      <c r="N2" s="41"/>
      <c r="O2" s="41"/>
      <c r="P2" s="41"/>
      <c r="Q2" s="41"/>
      <c r="R2" s="41"/>
      <c r="S2" s="41"/>
      <c r="T2" s="41"/>
      <c r="U2" s="41"/>
      <c r="V2" s="41"/>
    </row>
    <row r="3" spans="1:22" x14ac:dyDescent="0.3">
      <c r="A3" s="23" t="s">
        <v>21</v>
      </c>
      <c r="B3" s="23">
        <f>SUMIF(Data!A2:A202,'Count &amp; Sum'!A3,Data!J2:J202)</f>
        <v>32526.73</v>
      </c>
      <c r="D3" s="25" t="s">
        <v>29</v>
      </c>
      <c r="E3" s="25">
        <f>SUMIF(Data!G3:G202, D3,Data!J3:J202)</f>
        <v>1270454.1899999997</v>
      </c>
      <c r="G3" s="21" t="s">
        <v>25</v>
      </c>
      <c r="H3" s="21">
        <f>SUMIF(Data!I3:I202,'Count &amp; Sum'!G3,Data!K3:K202)</f>
        <v>336</v>
      </c>
      <c r="J3" s="43" t="s">
        <v>265</v>
      </c>
      <c r="K3" s="41"/>
      <c r="L3" s="41"/>
      <c r="M3" s="41"/>
      <c r="N3" s="41"/>
      <c r="O3" s="41"/>
      <c r="P3" s="41"/>
      <c r="Q3" s="41"/>
      <c r="R3" s="41"/>
      <c r="S3" s="41"/>
      <c r="T3" s="41"/>
      <c r="U3" s="41"/>
      <c r="V3" s="41"/>
    </row>
    <row r="4" spans="1:22" x14ac:dyDescent="0.3">
      <c r="A4" s="23" t="s">
        <v>26</v>
      </c>
      <c r="B4" s="23">
        <f>SUMIF(Data!A3:A203,'Count &amp; Sum'!A4,Data!J3:J203)</f>
        <v>4927.51</v>
      </c>
      <c r="D4" s="25" t="s">
        <v>35</v>
      </c>
      <c r="E4" s="25">
        <f>SUMIF(Data!G4:G203, D4,Data!J4:J203)</f>
        <v>1249818.01</v>
      </c>
      <c r="G4" s="21" t="s">
        <v>56</v>
      </c>
      <c r="H4" s="21">
        <f>SUMIF(Data!I4:I203,'Count &amp; Sum'!G4,Data!K4:K203)</f>
        <v>364</v>
      </c>
      <c r="J4" s="43" t="s">
        <v>266</v>
      </c>
      <c r="K4" s="41"/>
      <c r="L4" s="41"/>
      <c r="M4" s="41"/>
      <c r="N4" s="41"/>
      <c r="O4" s="41"/>
      <c r="P4" s="41"/>
      <c r="Q4" s="41"/>
      <c r="R4" s="41"/>
      <c r="S4" s="41"/>
      <c r="T4" s="41"/>
      <c r="U4" s="41"/>
      <c r="V4" s="41"/>
    </row>
    <row r="5" spans="1:22" x14ac:dyDescent="0.3">
      <c r="A5" s="23" t="s">
        <v>31</v>
      </c>
      <c r="B5" s="23">
        <f>SUMIF(Data!A4:A204,'Count &amp; Sum'!A5,Data!J4:J204)</f>
        <v>38088.83</v>
      </c>
      <c r="J5" s="43" t="s">
        <v>267</v>
      </c>
      <c r="K5" s="41"/>
      <c r="L5" s="41"/>
      <c r="M5" s="41"/>
      <c r="N5" s="41"/>
      <c r="O5" s="41"/>
      <c r="P5" s="41"/>
      <c r="Q5" s="41"/>
      <c r="R5" s="41"/>
      <c r="S5" s="41"/>
      <c r="T5" s="41"/>
      <c r="U5" s="41"/>
      <c r="V5" s="41"/>
    </row>
    <row r="6" spans="1:22" x14ac:dyDescent="0.3">
      <c r="A6" s="23" t="s">
        <v>33</v>
      </c>
      <c r="B6" s="23">
        <f>SUMIF(Data!A5:A205,'Count &amp; Sum'!A6,Data!J5:J205)</f>
        <v>19018.79</v>
      </c>
      <c r="D6" s="26" t="s">
        <v>7</v>
      </c>
      <c r="E6" s="26" t="s">
        <v>251</v>
      </c>
      <c r="G6" s="13" t="s">
        <v>3</v>
      </c>
      <c r="H6" s="13" t="s">
        <v>249</v>
      </c>
      <c r="J6" s="43" t="s">
        <v>268</v>
      </c>
      <c r="K6" s="41"/>
      <c r="L6" s="41"/>
      <c r="M6" s="41"/>
      <c r="N6" s="41"/>
      <c r="O6" s="41"/>
      <c r="P6" s="41"/>
      <c r="Q6" s="41"/>
      <c r="R6" s="41"/>
      <c r="S6" s="41"/>
      <c r="T6" s="41"/>
      <c r="U6" s="41"/>
      <c r="V6" s="41"/>
    </row>
    <row r="7" spans="1:22" x14ac:dyDescent="0.3">
      <c r="A7" s="23" t="s">
        <v>36</v>
      </c>
      <c r="B7" s="23">
        <f>SUMIF(Data!A6:A206,'Count &amp; Sum'!A7,Data!J6:J206)</f>
        <v>13800.67</v>
      </c>
      <c r="D7" s="28" t="s">
        <v>19</v>
      </c>
      <c r="E7" s="28">
        <f>SUMIF(Data!H2:H201,'Count &amp; Sum'!D7,Data!N2:N201)</f>
        <v>221620.06</v>
      </c>
      <c r="G7" s="19" t="s">
        <v>15</v>
      </c>
      <c r="H7" s="19">
        <f>SUMIF(Data!D2:D201,'Count &amp; Sum'!G7,Data!J2:J201)</f>
        <v>230989.06000000003</v>
      </c>
      <c r="J7" s="43" t="s">
        <v>269</v>
      </c>
      <c r="K7" s="41"/>
      <c r="L7" s="41"/>
      <c r="M7" s="41"/>
      <c r="N7" s="41"/>
      <c r="O7" s="41"/>
      <c r="P7" s="41"/>
      <c r="Q7" s="41"/>
      <c r="R7" s="41"/>
      <c r="S7" s="41"/>
      <c r="T7" s="41"/>
      <c r="U7" s="41"/>
      <c r="V7" s="41"/>
    </row>
    <row r="8" spans="1:22" x14ac:dyDescent="0.3">
      <c r="A8" s="23" t="s">
        <v>40</v>
      </c>
      <c r="B8" s="23">
        <f>SUMIF(Data!A7:A207,'Count &amp; Sum'!A8,Data!J7:J207)</f>
        <v>31318.959999999999</v>
      </c>
      <c r="D8" s="28" t="s">
        <v>30</v>
      </c>
      <c r="E8" s="28">
        <f>SUMIF(Data!H3:H202,'Count &amp; Sum'!D8,Data!N3:N202)</f>
        <v>171793.29</v>
      </c>
      <c r="G8" s="19" t="s">
        <v>22</v>
      </c>
      <c r="H8" s="19">
        <f>SUMIF(Data!D3:D202,'Count &amp; Sum'!G8,Data!J3:J202)</f>
        <v>427519.44</v>
      </c>
      <c r="J8" s="43" t="s">
        <v>270</v>
      </c>
      <c r="K8" s="44"/>
      <c r="L8" s="41"/>
      <c r="M8" s="41"/>
      <c r="N8" s="41"/>
      <c r="O8" s="41"/>
      <c r="P8" s="41"/>
      <c r="Q8" s="41"/>
      <c r="R8" s="41"/>
      <c r="S8" s="41"/>
      <c r="T8" s="41"/>
      <c r="U8" s="41"/>
      <c r="V8" s="41"/>
    </row>
    <row r="9" spans="1:22" x14ac:dyDescent="0.3">
      <c r="A9" s="23" t="s">
        <v>44</v>
      </c>
      <c r="B9" s="23">
        <f>SUMIF(Data!A8:A208,'Count &amp; Sum'!A9,Data!J8:J208)</f>
        <v>10853.73</v>
      </c>
      <c r="D9" s="28" t="s">
        <v>39</v>
      </c>
      <c r="E9" s="28">
        <f>SUMIF(Data!H4:H203,'Count &amp; Sum'!D9,Data!N4:N203)</f>
        <v>231233.81000000003</v>
      </c>
      <c r="G9" s="19" t="s">
        <v>27</v>
      </c>
      <c r="H9" s="19">
        <f>SUMIF(Data!D4:D203,'Count &amp; Sum'!G9,Data!J4:J203)</f>
        <v>265043.35000000003</v>
      </c>
      <c r="J9" s="43" t="s">
        <v>271</v>
      </c>
      <c r="K9" s="41"/>
      <c r="L9" s="41"/>
      <c r="M9" s="41"/>
      <c r="N9" s="41"/>
      <c r="O9" s="41"/>
      <c r="P9" s="41"/>
      <c r="Q9" s="41"/>
      <c r="R9" s="41"/>
      <c r="S9" s="41"/>
      <c r="T9" s="41"/>
      <c r="U9" s="41"/>
      <c r="V9" s="41"/>
    </row>
    <row r="10" spans="1:22" x14ac:dyDescent="0.3">
      <c r="A10" s="23" t="s">
        <v>45</v>
      </c>
      <c r="B10" s="23">
        <f>SUMIF(Data!A9:A209,'Count &amp; Sum'!A10,Data!J9:J209)</f>
        <v>6540.32</v>
      </c>
      <c r="D10" s="28" t="s">
        <v>47</v>
      </c>
      <c r="E10" s="28">
        <f>SUMIF(Data!H5:H204,'Count &amp; Sum'!D10,Data!N5:N204)</f>
        <v>201002.46000000005</v>
      </c>
      <c r="G10" s="19" t="s">
        <v>32</v>
      </c>
      <c r="H10" s="19">
        <f>SUMIF(Data!D5:D204,'Count &amp; Sum'!G10,Data!J5:J204)</f>
        <v>375073.36</v>
      </c>
      <c r="J10" s="43" t="s">
        <v>272</v>
      </c>
      <c r="K10" s="41"/>
      <c r="L10" s="41"/>
      <c r="M10" s="41"/>
      <c r="N10" s="41"/>
      <c r="O10" s="41"/>
      <c r="P10" s="41"/>
      <c r="Q10" s="41"/>
      <c r="R10" s="41"/>
      <c r="S10" s="41"/>
      <c r="T10" s="41"/>
      <c r="U10" s="41"/>
      <c r="V10" s="41"/>
    </row>
    <row r="11" spans="1:22" x14ac:dyDescent="0.3">
      <c r="A11" s="23" t="s">
        <v>46</v>
      </c>
      <c r="B11" s="23">
        <f>SUMIF(Data!A10:A210,'Count &amp; Sum'!A11,Data!J10:J210)</f>
        <v>10918.37</v>
      </c>
      <c r="D11" s="28" t="s">
        <v>52</v>
      </c>
      <c r="E11" s="28">
        <f>SUMIF(Data!H6:H205,'Count &amp; Sum'!D11,Data!N6:N205)</f>
        <v>185142.08999999997</v>
      </c>
      <c r="J11" s="43" t="s">
        <v>273</v>
      </c>
      <c r="K11" s="41"/>
      <c r="L11" s="41"/>
      <c r="M11" s="41"/>
      <c r="N11" s="41"/>
      <c r="O11" s="41"/>
      <c r="P11" s="41"/>
      <c r="Q11" s="41"/>
      <c r="R11" s="41"/>
      <c r="S11" s="41"/>
      <c r="T11" s="41"/>
      <c r="U11" s="41"/>
      <c r="V11" s="41"/>
    </row>
    <row r="12" spans="1:22" x14ac:dyDescent="0.3">
      <c r="A12" s="23" t="s">
        <v>48</v>
      </c>
      <c r="B12" s="23">
        <f>SUMIF(Data!A11:A211,'Count &amp; Sum'!A12,Data!J11:J211)</f>
        <v>27163.21</v>
      </c>
      <c r="D12" s="28" t="s">
        <v>58</v>
      </c>
      <c r="E12" s="28">
        <f>SUMIF(Data!H7:H206,'Count &amp; Sum'!D12,Data!N7:N206)</f>
        <v>170717.55000000005</v>
      </c>
      <c r="G12" s="27" t="s">
        <v>5</v>
      </c>
      <c r="H12" s="27" t="s">
        <v>252</v>
      </c>
      <c r="J12" s="40"/>
    </row>
    <row r="13" spans="1:22" x14ac:dyDescent="0.3">
      <c r="A13" s="23" t="s">
        <v>50</v>
      </c>
      <c r="B13" s="23">
        <f>SUMIF(Data!A12:A212,'Count &amp; Sum'!A13,Data!J12:J212)</f>
        <v>4746.18</v>
      </c>
      <c r="G13" s="28" t="s">
        <v>24</v>
      </c>
      <c r="H13" s="28">
        <f>SUMIF(Data!F2:F201,'Count &amp; Sum'!G13,Data!O1:O201)</f>
        <v>296438.12261688313</v>
      </c>
    </row>
    <row r="14" spans="1:22" x14ac:dyDescent="0.3">
      <c r="A14" s="23" t="s">
        <v>53</v>
      </c>
      <c r="B14" s="23">
        <f>SUMIF(Data!A13:A213,'Count &amp; Sum'!A14,Data!J13:J213)</f>
        <v>18491.32</v>
      </c>
      <c r="D14" s="35" t="s">
        <v>253</v>
      </c>
      <c r="E14" s="35">
        <f>COUNTA(Data!A2:A201)</f>
        <v>200</v>
      </c>
      <c r="G14" s="28" t="s">
        <v>17</v>
      </c>
      <c r="H14" s="28">
        <f>SUMIF(Data!F3:F202,'Count &amp; Sum'!G14,Data!O2:O202)</f>
        <v>212764.38843145745</v>
      </c>
      <c r="J14" s="40"/>
    </row>
    <row r="15" spans="1:22" x14ac:dyDescent="0.3">
      <c r="A15" s="23" t="s">
        <v>55</v>
      </c>
      <c r="B15" s="23">
        <f>SUMIF(Data!A14:A214,'Count &amp; Sum'!A15,Data!J14:J214)</f>
        <v>10033.93</v>
      </c>
      <c r="D15" s="35" t="s">
        <v>254</v>
      </c>
      <c r="E15" s="35">
        <f>COUNT(Data!B2:B201)</f>
        <v>200</v>
      </c>
      <c r="G15" s="28" t="s">
        <v>34</v>
      </c>
      <c r="H15" s="28">
        <f>SUMIF(Data!F4:F203,'Count &amp; Sum'!G15,Data!O3:O203)</f>
        <v>219077.34676695528</v>
      </c>
    </row>
    <row r="16" spans="1:22" x14ac:dyDescent="0.3">
      <c r="A16" s="23" t="s">
        <v>57</v>
      </c>
      <c r="B16" s="23">
        <f>SUMIF(Data!A15:A215,'Count &amp; Sum'!A16,Data!J15:J215)</f>
        <v>22190.58</v>
      </c>
      <c r="D16" s="35" t="s">
        <v>255</v>
      </c>
      <c r="E16" s="35">
        <f>COUNTBLANK(Data!D2:D201)</f>
        <v>0</v>
      </c>
      <c r="G16" s="28" t="s">
        <v>38</v>
      </c>
      <c r="H16" s="28">
        <f>SUMIF(Data!F5:F204,'Count &amp; Sum'!G16,Data!O4:O204)</f>
        <v>198520.90107972588</v>
      </c>
      <c r="J16" s="40"/>
    </row>
    <row r="17" spans="1:10" x14ac:dyDescent="0.3">
      <c r="A17" s="23" t="s">
        <v>59</v>
      </c>
      <c r="B17" s="23">
        <f>SUMIF(Data!A16:A216,'Count &amp; Sum'!A17,Data!J16:J216)</f>
        <v>6220.59</v>
      </c>
      <c r="D17" s="35" t="s">
        <v>256</v>
      </c>
      <c r="E17" s="35">
        <f>COUNTIF(Data!E2:E201,"=North")</f>
        <v>44</v>
      </c>
      <c r="G17" s="28" t="s">
        <v>43</v>
      </c>
      <c r="H17" s="28">
        <f>SUMIF(Data!F6:F205,'Count &amp; Sum'!G17,Data!O5:O205)</f>
        <v>208437.1482723665</v>
      </c>
    </row>
    <row r="18" spans="1:10" x14ac:dyDescent="0.3">
      <c r="A18" s="23" t="s">
        <v>60</v>
      </c>
      <c r="B18" s="23">
        <f>SUMIF(Data!A17:A217,'Count &amp; Sum'!A18,Data!J17:J217)</f>
        <v>31139.48</v>
      </c>
      <c r="D18" s="35" t="s">
        <v>257</v>
      </c>
      <c r="E18" s="35">
        <f>COUNTIFS(Data!F2:F201,"=India",Data!H2:H201,"=Laptops")</f>
        <v>6</v>
      </c>
      <c r="J18" s="40"/>
    </row>
    <row r="19" spans="1:10" x14ac:dyDescent="0.3">
      <c r="A19" s="23" t="s">
        <v>61</v>
      </c>
      <c r="B19" s="23">
        <f>SUMIF(Data!A18:A218,'Count &amp; Sum'!A19,Data!J18:J218)</f>
        <v>37017.370000000003</v>
      </c>
      <c r="G19" s="33" t="s">
        <v>249</v>
      </c>
      <c r="H19" s="33" t="s">
        <v>250</v>
      </c>
      <c r="I19" s="33" t="s">
        <v>251</v>
      </c>
    </row>
    <row r="20" spans="1:10" x14ac:dyDescent="0.3">
      <c r="A20" s="23" t="s">
        <v>63</v>
      </c>
      <c r="B20" s="23">
        <f>SUMIF(Data!A19:A219,'Count &amp; Sum'!A20,Data!J19:J219)</f>
        <v>13318.88</v>
      </c>
      <c r="D20" s="32" t="s">
        <v>12</v>
      </c>
      <c r="E20" s="32" t="s">
        <v>13</v>
      </c>
      <c r="G20" s="34">
        <f>SUM(Data!J2:J201)</f>
        <v>3969895.6800000039</v>
      </c>
      <c r="H20" s="34">
        <f>SUM(Data!K2:K201)</f>
        <v>1182</v>
      </c>
      <c r="I20" s="34">
        <f>SUM(Data!N2:N201)</f>
        <v>1181509.26</v>
      </c>
    </row>
    <row r="21" spans="1:10" x14ac:dyDescent="0.3">
      <c r="A21" s="23" t="s">
        <v>65</v>
      </c>
      <c r="B21" s="23">
        <f>SUMIF(Data!A20:A220,'Count &amp; Sum'!A21,Data!J20:J220)</f>
        <v>14695.56</v>
      </c>
      <c r="D21" s="31">
        <f>SUMIFS(Data!M2:M201,Data!E2:E201,"=South",Data!F2:F201,"=UK")</f>
        <v>87454.17</v>
      </c>
      <c r="E21" s="31">
        <f>SUMIFS(Data!N2:N201,Data!G2:G201,"=Furniture",Data!H2:H201,"=Chairs",Data!I2:I201,"=Home Office")</f>
        <v>17665.07</v>
      </c>
    </row>
    <row r="22" spans="1:10" x14ac:dyDescent="0.3">
      <c r="A22" s="23" t="s">
        <v>66</v>
      </c>
      <c r="B22" s="23">
        <f>SUMIF(Data!A21:A221,'Count &amp; Sum'!A22,Data!J21:J221)</f>
        <v>24244.94</v>
      </c>
    </row>
    <row r="23" spans="1:10" x14ac:dyDescent="0.3">
      <c r="A23" s="23" t="s">
        <v>68</v>
      </c>
      <c r="B23" s="23">
        <f>SUMIF(Data!A22:A222,'Count &amp; Sum'!A23,Data!J22:J222)</f>
        <v>29761.68</v>
      </c>
      <c r="D23" s="29" t="s">
        <v>12</v>
      </c>
      <c r="E23" s="29" t="s">
        <v>13</v>
      </c>
      <c r="F23" s="29" t="s">
        <v>11</v>
      </c>
      <c r="G23" s="29" t="s">
        <v>13</v>
      </c>
      <c r="H23" s="29" t="s">
        <v>10</v>
      </c>
      <c r="I23" s="29" t="s">
        <v>248</v>
      </c>
    </row>
    <row r="24" spans="1:10" x14ac:dyDescent="0.3">
      <c r="A24" s="23" t="s">
        <v>69</v>
      </c>
      <c r="B24" s="23">
        <f>SUMIF(Data!A23:A223,'Count &amp; Sum'!A24,Data!J23:J223)</f>
        <v>3084.33</v>
      </c>
      <c r="D24" s="30">
        <f>SUMIFS(Data!M2:M201,Data!H2:H201,"=Laptops")</f>
        <v>381860.37999999995</v>
      </c>
      <c r="E24" s="30">
        <f>SUMIFS(Data!N2:N201,Data!E2:E201,"=North")</f>
        <v>258729.64</v>
      </c>
      <c r="F24" s="30">
        <f>SUMIFS(Data!L2:L201,Data!F2:F201,"=India")</f>
        <v>5.22</v>
      </c>
      <c r="G24" s="30">
        <f>SUMIFS(Data!N2:N201,Data!G2:G201,"=Furniture")</f>
        <v>433753.15000000014</v>
      </c>
      <c r="H24" s="30">
        <f>SUMIFS(Data!K2:K201,Data!D2:D201,"=March")</f>
        <v>93</v>
      </c>
      <c r="I24" s="30">
        <f>SUMIFS(Data!O2:O201,Data!I2:I201,"=Corporate")</f>
        <v>400458.36955483409</v>
      </c>
    </row>
    <row r="25" spans="1:10" x14ac:dyDescent="0.3">
      <c r="A25" s="23" t="s">
        <v>70</v>
      </c>
      <c r="B25" s="23">
        <f>SUMIF(Data!A24:A224,'Count &amp; Sum'!A25,Data!J24:J224)</f>
        <v>27251.31</v>
      </c>
    </row>
    <row r="26" spans="1:10" x14ac:dyDescent="0.3">
      <c r="A26" s="23" t="s">
        <v>71</v>
      </c>
      <c r="B26" s="23">
        <f>SUMIF(Data!A25:A225,'Count &amp; Sum'!A26,Data!J25:J225)</f>
        <v>32718.53</v>
      </c>
    </row>
    <row r="27" spans="1:10" x14ac:dyDescent="0.3">
      <c r="A27" s="23" t="s">
        <v>72</v>
      </c>
      <c r="B27" s="23">
        <f>SUMIF(Data!A26:A226,'Count &amp; Sum'!A27,Data!J26:J226)</f>
        <v>31866.83</v>
      </c>
    </row>
    <row r="28" spans="1:10" x14ac:dyDescent="0.3">
      <c r="A28" s="23" t="s">
        <v>73</v>
      </c>
      <c r="B28" s="23">
        <f>SUMIF(Data!A27:A227,'Count &amp; Sum'!A28,Data!J27:J227)</f>
        <v>17993.169999999998</v>
      </c>
    </row>
    <row r="29" spans="1:10" x14ac:dyDescent="0.3">
      <c r="A29" s="23" t="s">
        <v>74</v>
      </c>
      <c r="B29" s="23">
        <f>SUMIF(Data!A28:A228,'Count &amp; Sum'!A29,Data!J28:J228)</f>
        <v>33052.6</v>
      </c>
    </row>
    <row r="30" spans="1:10" x14ac:dyDescent="0.3">
      <c r="A30" s="23" t="s">
        <v>75</v>
      </c>
      <c r="B30" s="23">
        <f>SUMIF(Data!A29:A229,'Count &amp; Sum'!A30,Data!J29:J229)</f>
        <v>22245.41</v>
      </c>
    </row>
    <row r="31" spans="1:10" x14ac:dyDescent="0.3">
      <c r="A31" s="23" t="s">
        <v>76</v>
      </c>
      <c r="B31" s="23">
        <f>SUMIF(Data!A30:A230,'Count &amp; Sum'!A31,Data!J30:J230)</f>
        <v>8119.62</v>
      </c>
    </row>
    <row r="32" spans="1:10" x14ac:dyDescent="0.3">
      <c r="A32" s="23" t="s">
        <v>77</v>
      </c>
      <c r="B32" s="23">
        <f>SUMIF(Data!A31:A231,'Count &amp; Sum'!A32,Data!J31:J231)</f>
        <v>12000.88</v>
      </c>
    </row>
    <row r="33" spans="1:2" x14ac:dyDescent="0.3">
      <c r="A33" s="23" t="s">
        <v>78</v>
      </c>
      <c r="B33" s="23">
        <f>SUMIF(Data!A32:A232,'Count &amp; Sum'!A33,Data!J32:J232)</f>
        <v>24035.25</v>
      </c>
    </row>
    <row r="34" spans="1:2" x14ac:dyDescent="0.3">
      <c r="A34" s="23" t="s">
        <v>79</v>
      </c>
      <c r="B34" s="23">
        <f>SUMIF(Data!A33:A233,'Count &amp; Sum'!A34,Data!J33:J233)</f>
        <v>22457.01</v>
      </c>
    </row>
    <row r="35" spans="1:2" x14ac:dyDescent="0.3">
      <c r="A35" s="23" t="s">
        <v>80</v>
      </c>
      <c r="B35" s="23">
        <f>SUMIF(Data!A34:A234,'Count &amp; Sum'!A35,Data!J34:J234)</f>
        <v>32245</v>
      </c>
    </row>
    <row r="36" spans="1:2" x14ac:dyDescent="0.3">
      <c r="A36" s="23" t="s">
        <v>81</v>
      </c>
      <c r="B36" s="23">
        <f>SUMIF(Data!A35:A235,'Count &amp; Sum'!A36,Data!J35:J235)</f>
        <v>28823.82</v>
      </c>
    </row>
    <row r="37" spans="1:2" x14ac:dyDescent="0.3">
      <c r="A37" s="23" t="s">
        <v>82</v>
      </c>
      <c r="B37" s="23">
        <f>SUMIF(Data!A36:A236,'Count &amp; Sum'!A37,Data!J36:J236)</f>
        <v>9151.9599999999991</v>
      </c>
    </row>
    <row r="38" spans="1:2" x14ac:dyDescent="0.3">
      <c r="A38" s="23" t="s">
        <v>84</v>
      </c>
      <c r="B38" s="23">
        <f>SUMIF(Data!A37:A237,'Count &amp; Sum'!A38,Data!J37:J237)</f>
        <v>16377.54</v>
      </c>
    </row>
    <row r="39" spans="1:2" x14ac:dyDescent="0.3">
      <c r="A39" s="23" t="s">
        <v>85</v>
      </c>
      <c r="B39" s="23">
        <f>SUMIF(Data!A38:A238,'Count &amp; Sum'!A39,Data!J38:J238)</f>
        <v>31300.51</v>
      </c>
    </row>
    <row r="40" spans="1:2" x14ac:dyDescent="0.3">
      <c r="A40" s="23" t="s">
        <v>86</v>
      </c>
      <c r="B40" s="23">
        <f>SUMIF(Data!A39:A239,'Count &amp; Sum'!A40,Data!J39:J239)</f>
        <v>18758.23</v>
      </c>
    </row>
    <row r="41" spans="1:2" x14ac:dyDescent="0.3">
      <c r="A41" s="23" t="s">
        <v>87</v>
      </c>
      <c r="B41" s="23">
        <f>SUMIF(Data!A40:A240,'Count &amp; Sum'!A41,Data!J40:J240)</f>
        <v>9621.19</v>
      </c>
    </row>
    <row r="42" spans="1:2" x14ac:dyDescent="0.3">
      <c r="A42" s="23" t="s">
        <v>88</v>
      </c>
      <c r="B42" s="23">
        <f>SUMIF(Data!A41:A241,'Count &amp; Sum'!A42,Data!J41:J241)</f>
        <v>37534.11</v>
      </c>
    </row>
    <row r="43" spans="1:2" x14ac:dyDescent="0.3">
      <c r="A43" s="23" t="s">
        <v>89</v>
      </c>
      <c r="B43" s="23">
        <f>SUMIF(Data!A42:A242,'Count &amp; Sum'!A43,Data!J42:J242)</f>
        <v>18403.759999999998</v>
      </c>
    </row>
    <row r="44" spans="1:2" x14ac:dyDescent="0.3">
      <c r="A44" s="23" t="s">
        <v>90</v>
      </c>
      <c r="B44" s="23">
        <f>SUMIF(Data!A43:A243,'Count &amp; Sum'!A44,Data!J43:J243)</f>
        <v>12902.1</v>
      </c>
    </row>
    <row r="45" spans="1:2" x14ac:dyDescent="0.3">
      <c r="A45" s="23" t="s">
        <v>91</v>
      </c>
      <c r="B45" s="23">
        <f>SUMIF(Data!A44:A244,'Count &amp; Sum'!A45,Data!J44:J244)</f>
        <v>20841.32</v>
      </c>
    </row>
    <row r="46" spans="1:2" x14ac:dyDescent="0.3">
      <c r="A46" s="23" t="s">
        <v>92</v>
      </c>
      <c r="B46" s="23">
        <f>SUMIF(Data!A45:A245,'Count &amp; Sum'!A46,Data!J45:J245)</f>
        <v>12596</v>
      </c>
    </row>
    <row r="47" spans="1:2" x14ac:dyDescent="0.3">
      <c r="A47" s="23" t="s">
        <v>93</v>
      </c>
      <c r="B47" s="23">
        <f>SUMIF(Data!A46:A246,'Count &amp; Sum'!A47,Data!J46:J246)</f>
        <v>11399.04</v>
      </c>
    </row>
    <row r="48" spans="1:2" x14ac:dyDescent="0.3">
      <c r="A48" s="23" t="s">
        <v>94</v>
      </c>
      <c r="B48" s="23">
        <f>SUMIF(Data!A47:A247,'Count &amp; Sum'!A48,Data!J47:J247)</f>
        <v>26732.05</v>
      </c>
    </row>
    <row r="49" spans="1:2" x14ac:dyDescent="0.3">
      <c r="A49" s="23" t="s">
        <v>95</v>
      </c>
      <c r="B49" s="23">
        <f>SUMIF(Data!A48:A248,'Count &amp; Sum'!A49,Data!J48:J248)</f>
        <v>31973.15</v>
      </c>
    </row>
    <row r="50" spans="1:2" x14ac:dyDescent="0.3">
      <c r="A50" s="23" t="s">
        <v>96</v>
      </c>
      <c r="B50" s="23">
        <f>SUMIF(Data!A49:A249,'Count &amp; Sum'!A50,Data!J49:J249)</f>
        <v>16826.2</v>
      </c>
    </row>
    <row r="51" spans="1:2" x14ac:dyDescent="0.3">
      <c r="A51" s="23" t="s">
        <v>97</v>
      </c>
      <c r="B51" s="23">
        <f>SUMIF(Data!A50:A250,'Count &amp; Sum'!A51,Data!J50:J250)</f>
        <v>7108.85</v>
      </c>
    </row>
    <row r="52" spans="1:2" x14ac:dyDescent="0.3">
      <c r="A52" s="23" t="s">
        <v>98</v>
      </c>
      <c r="B52" s="23">
        <f>SUMIF(Data!A51:A251,'Count &amp; Sum'!A52,Data!J51:J251)</f>
        <v>19451.18</v>
      </c>
    </row>
    <row r="53" spans="1:2" x14ac:dyDescent="0.3">
      <c r="A53" s="23" t="s">
        <v>99</v>
      </c>
      <c r="B53" s="23">
        <f>SUMIF(Data!A52:A252,'Count &amp; Sum'!A53,Data!J52:J252)</f>
        <v>16542.75</v>
      </c>
    </row>
    <row r="54" spans="1:2" x14ac:dyDescent="0.3">
      <c r="A54" s="23" t="s">
        <v>100</v>
      </c>
      <c r="B54" s="23">
        <f>SUMIF(Data!A53:A253,'Count &amp; Sum'!A54,Data!J53:J253)</f>
        <v>17879.88</v>
      </c>
    </row>
    <row r="55" spans="1:2" x14ac:dyDescent="0.3">
      <c r="A55" s="23" t="s">
        <v>101</v>
      </c>
      <c r="B55" s="23">
        <f>SUMIF(Data!A54:A254,'Count &amp; Sum'!A55,Data!J54:J254)</f>
        <v>10203.14</v>
      </c>
    </row>
    <row r="56" spans="1:2" x14ac:dyDescent="0.3">
      <c r="A56" s="23" t="s">
        <v>102</v>
      </c>
      <c r="B56" s="23">
        <f>SUMIF(Data!A55:A255,'Count &amp; Sum'!A56,Data!J55:J255)</f>
        <v>30968.22</v>
      </c>
    </row>
    <row r="57" spans="1:2" x14ac:dyDescent="0.3">
      <c r="A57" s="23" t="s">
        <v>103</v>
      </c>
      <c r="B57" s="23">
        <f>SUMIF(Data!A56:A256,'Count &amp; Sum'!A57,Data!J56:J256)</f>
        <v>8727.32</v>
      </c>
    </row>
    <row r="58" spans="1:2" x14ac:dyDescent="0.3">
      <c r="A58" s="23" t="s">
        <v>104</v>
      </c>
      <c r="B58" s="23">
        <f>SUMIF(Data!A57:A257,'Count &amp; Sum'!A58,Data!J57:J257)</f>
        <v>2314.94</v>
      </c>
    </row>
    <row r="59" spans="1:2" x14ac:dyDescent="0.3">
      <c r="A59" s="23" t="s">
        <v>105</v>
      </c>
      <c r="B59" s="23">
        <f>SUMIF(Data!A58:A258,'Count &amp; Sum'!A59,Data!J58:J258)</f>
        <v>28244.45</v>
      </c>
    </row>
    <row r="60" spans="1:2" x14ac:dyDescent="0.3">
      <c r="A60" s="23" t="s">
        <v>106</v>
      </c>
      <c r="B60" s="23">
        <f>SUMIF(Data!A59:A259,'Count &amp; Sum'!A60,Data!J59:J259)</f>
        <v>29906.04</v>
      </c>
    </row>
    <row r="61" spans="1:2" x14ac:dyDescent="0.3">
      <c r="A61" s="23" t="s">
        <v>107</v>
      </c>
      <c r="B61" s="23">
        <f>SUMIF(Data!A60:A260,'Count &amp; Sum'!A61,Data!J60:J260)</f>
        <v>10159.370000000001</v>
      </c>
    </row>
    <row r="62" spans="1:2" x14ac:dyDescent="0.3">
      <c r="A62" s="23" t="s">
        <v>108</v>
      </c>
      <c r="B62" s="23">
        <f>SUMIF(Data!A61:A261,'Count &amp; Sum'!A62,Data!J61:J261)</f>
        <v>7597.51</v>
      </c>
    </row>
    <row r="63" spans="1:2" x14ac:dyDescent="0.3">
      <c r="A63" s="23" t="s">
        <v>109</v>
      </c>
      <c r="B63" s="23">
        <f>SUMIF(Data!A62:A262,'Count &amp; Sum'!A63,Data!J62:J262)</f>
        <v>23556.83</v>
      </c>
    </row>
    <row r="64" spans="1:2" x14ac:dyDescent="0.3">
      <c r="A64" s="23" t="s">
        <v>110</v>
      </c>
      <c r="B64" s="23">
        <f>SUMIF(Data!A63:A263,'Count &amp; Sum'!A64,Data!J63:J263)</f>
        <v>36849.51</v>
      </c>
    </row>
    <row r="65" spans="1:2" x14ac:dyDescent="0.3">
      <c r="A65" s="23" t="s">
        <v>111</v>
      </c>
      <c r="B65" s="23">
        <f>SUMIF(Data!A64:A264,'Count &amp; Sum'!A65,Data!J64:J264)</f>
        <v>10756.15</v>
      </c>
    </row>
    <row r="66" spans="1:2" x14ac:dyDescent="0.3">
      <c r="A66" s="23" t="s">
        <v>112</v>
      </c>
      <c r="B66" s="23">
        <f>SUMIF(Data!A65:A265,'Count &amp; Sum'!A66,Data!J65:J265)</f>
        <v>21968.16</v>
      </c>
    </row>
    <row r="67" spans="1:2" x14ac:dyDescent="0.3">
      <c r="A67" s="23" t="s">
        <v>113</v>
      </c>
      <c r="B67" s="23">
        <f>SUMIF(Data!A66:A266,'Count &amp; Sum'!A67,Data!J66:J266)</f>
        <v>11163.63</v>
      </c>
    </row>
    <row r="68" spans="1:2" x14ac:dyDescent="0.3">
      <c r="A68" s="23" t="s">
        <v>114</v>
      </c>
      <c r="B68" s="23">
        <f>SUMIF(Data!A67:A267,'Count &amp; Sum'!A68,Data!J67:J267)</f>
        <v>29872.59</v>
      </c>
    </row>
    <row r="69" spans="1:2" x14ac:dyDescent="0.3">
      <c r="A69" s="23" t="s">
        <v>115</v>
      </c>
      <c r="B69" s="23">
        <f>SUMIF(Data!A68:A268,'Count &amp; Sum'!A69,Data!J68:J268)</f>
        <v>19110.18</v>
      </c>
    </row>
    <row r="70" spans="1:2" x14ac:dyDescent="0.3">
      <c r="A70" s="23" t="s">
        <v>116</v>
      </c>
      <c r="B70" s="23">
        <f>SUMIF(Data!A69:A269,'Count &amp; Sum'!A70,Data!J69:J269)</f>
        <v>15655.09</v>
      </c>
    </row>
    <row r="71" spans="1:2" x14ac:dyDescent="0.3">
      <c r="A71" s="23" t="s">
        <v>117</v>
      </c>
      <c r="B71" s="23">
        <f>SUMIF(Data!A70:A270,'Count &amp; Sum'!A71,Data!J70:J270)</f>
        <v>26520.71</v>
      </c>
    </row>
    <row r="72" spans="1:2" x14ac:dyDescent="0.3">
      <c r="A72" s="23" t="s">
        <v>118</v>
      </c>
      <c r="B72" s="23">
        <f>SUMIF(Data!A71:A271,'Count &amp; Sum'!A72,Data!J71:J271)</f>
        <v>21631.65</v>
      </c>
    </row>
    <row r="73" spans="1:2" x14ac:dyDescent="0.3">
      <c r="A73" s="23" t="s">
        <v>119</v>
      </c>
      <c r="B73" s="23">
        <f>SUMIF(Data!A72:A272,'Count &amp; Sum'!A73,Data!J72:J272)</f>
        <v>8685.0499999999993</v>
      </c>
    </row>
    <row r="74" spans="1:2" x14ac:dyDescent="0.3">
      <c r="A74" s="23" t="s">
        <v>120</v>
      </c>
      <c r="B74" s="23">
        <f>SUMIF(Data!A73:A273,'Count &amp; Sum'!A74,Data!J73:J273)</f>
        <v>17115.52</v>
      </c>
    </row>
    <row r="75" spans="1:2" x14ac:dyDescent="0.3">
      <c r="A75" s="23" t="s">
        <v>121</v>
      </c>
      <c r="B75" s="23">
        <f>SUMIF(Data!A74:A274,'Count &amp; Sum'!A75,Data!J74:J274)</f>
        <v>38294.550000000003</v>
      </c>
    </row>
    <row r="76" spans="1:2" x14ac:dyDescent="0.3">
      <c r="A76" s="23" t="s">
        <v>122</v>
      </c>
      <c r="B76" s="23">
        <f>SUMIF(Data!A75:A275,'Count &amp; Sum'!A76,Data!J75:J275)</f>
        <v>32204.5</v>
      </c>
    </row>
    <row r="77" spans="1:2" x14ac:dyDescent="0.3">
      <c r="A77" s="23" t="s">
        <v>123</v>
      </c>
      <c r="B77" s="23">
        <f>SUMIF(Data!A76:A276,'Count &amp; Sum'!A77,Data!J76:J276)</f>
        <v>20874.66</v>
      </c>
    </row>
    <row r="78" spans="1:2" x14ac:dyDescent="0.3">
      <c r="A78" s="23" t="s">
        <v>124</v>
      </c>
      <c r="B78" s="23">
        <f>SUMIF(Data!A77:A277,'Count &amp; Sum'!A78,Data!J77:J277)</f>
        <v>26690.16</v>
      </c>
    </row>
    <row r="79" spans="1:2" x14ac:dyDescent="0.3">
      <c r="A79" s="23" t="s">
        <v>125</v>
      </c>
      <c r="B79" s="23">
        <f>SUMIF(Data!A78:A278,'Count &amp; Sum'!A79,Data!J78:J278)</f>
        <v>6380.96</v>
      </c>
    </row>
    <row r="80" spans="1:2" x14ac:dyDescent="0.3">
      <c r="A80" s="23" t="s">
        <v>126</v>
      </c>
      <c r="B80" s="23">
        <f>SUMIF(Data!A79:A279,'Count &amp; Sum'!A80,Data!J79:J279)</f>
        <v>16997.18</v>
      </c>
    </row>
    <row r="81" spans="1:2" x14ac:dyDescent="0.3">
      <c r="A81" s="23" t="s">
        <v>127</v>
      </c>
      <c r="B81" s="23">
        <f>SUMIF(Data!A80:A280,'Count &amp; Sum'!A81,Data!J80:J280)</f>
        <v>35876.800000000003</v>
      </c>
    </row>
    <row r="82" spans="1:2" x14ac:dyDescent="0.3">
      <c r="A82" s="23" t="s">
        <v>128</v>
      </c>
      <c r="B82" s="23">
        <f>SUMIF(Data!A81:A281,'Count &amp; Sum'!A82,Data!J81:J281)</f>
        <v>8174.32</v>
      </c>
    </row>
    <row r="83" spans="1:2" x14ac:dyDescent="0.3">
      <c r="A83" s="23" t="s">
        <v>129</v>
      </c>
      <c r="B83" s="23">
        <f>SUMIF(Data!A82:A282,'Count &amp; Sum'!A83,Data!J82:J282)</f>
        <v>39291.32</v>
      </c>
    </row>
    <row r="84" spans="1:2" x14ac:dyDescent="0.3">
      <c r="A84" s="23" t="s">
        <v>130</v>
      </c>
      <c r="B84" s="23">
        <f>SUMIF(Data!A83:A283,'Count &amp; Sum'!A84,Data!J83:J283)</f>
        <v>34045.949999999997</v>
      </c>
    </row>
    <row r="85" spans="1:2" x14ac:dyDescent="0.3">
      <c r="A85" s="23" t="s">
        <v>131</v>
      </c>
      <c r="B85" s="23">
        <f>SUMIF(Data!A84:A284,'Count &amp; Sum'!A85,Data!J84:J284)</f>
        <v>27696.22</v>
      </c>
    </row>
    <row r="86" spans="1:2" x14ac:dyDescent="0.3">
      <c r="A86" s="23" t="s">
        <v>132</v>
      </c>
      <c r="B86" s="23">
        <f>SUMIF(Data!A85:A285,'Count &amp; Sum'!A86,Data!J85:J285)</f>
        <v>15446.07</v>
      </c>
    </row>
    <row r="87" spans="1:2" x14ac:dyDescent="0.3">
      <c r="A87" s="23" t="s">
        <v>133</v>
      </c>
      <c r="B87" s="23">
        <f>SUMIF(Data!A86:A286,'Count &amp; Sum'!A87,Data!J86:J286)</f>
        <v>4409.4399999999996</v>
      </c>
    </row>
    <row r="88" spans="1:2" x14ac:dyDescent="0.3">
      <c r="A88" s="23" t="s">
        <v>134</v>
      </c>
      <c r="B88" s="23">
        <f>SUMIF(Data!A87:A287,'Count &amp; Sum'!A88,Data!J87:J287)</f>
        <v>12351.61</v>
      </c>
    </row>
    <row r="89" spans="1:2" x14ac:dyDescent="0.3">
      <c r="A89" s="23" t="s">
        <v>135</v>
      </c>
      <c r="B89" s="23">
        <f>SUMIF(Data!A88:A288,'Count &amp; Sum'!A89,Data!J88:J288)</f>
        <v>29847.06</v>
      </c>
    </row>
    <row r="90" spans="1:2" x14ac:dyDescent="0.3">
      <c r="A90" s="23" t="s">
        <v>136</v>
      </c>
      <c r="B90" s="23">
        <f>SUMIF(Data!A89:A289,'Count &amp; Sum'!A90,Data!J89:J289)</f>
        <v>17327.560000000001</v>
      </c>
    </row>
    <row r="91" spans="1:2" x14ac:dyDescent="0.3">
      <c r="A91" s="23" t="s">
        <v>137</v>
      </c>
      <c r="B91" s="23">
        <f>SUMIF(Data!A90:A290,'Count &amp; Sum'!A91,Data!J90:J290)</f>
        <v>32273.13</v>
      </c>
    </row>
    <row r="92" spans="1:2" x14ac:dyDescent="0.3">
      <c r="A92" s="23" t="s">
        <v>138</v>
      </c>
      <c r="B92" s="23">
        <f>SUMIF(Data!A91:A291,'Count &amp; Sum'!A92,Data!J91:J291)</f>
        <v>9259.2199999999993</v>
      </c>
    </row>
    <row r="93" spans="1:2" x14ac:dyDescent="0.3">
      <c r="A93" s="23" t="s">
        <v>139</v>
      </c>
      <c r="B93" s="23">
        <f>SUMIF(Data!A92:A292,'Count &amp; Sum'!A93,Data!J92:J292)</f>
        <v>33090.85</v>
      </c>
    </row>
    <row r="94" spans="1:2" x14ac:dyDescent="0.3">
      <c r="A94" s="23" t="s">
        <v>140</v>
      </c>
      <c r="B94" s="23">
        <f>SUMIF(Data!A93:A293,'Count &amp; Sum'!A94,Data!J93:J293)</f>
        <v>34516.370000000003</v>
      </c>
    </row>
    <row r="95" spans="1:2" x14ac:dyDescent="0.3">
      <c r="A95" s="23" t="s">
        <v>141</v>
      </c>
      <c r="B95" s="23">
        <f>SUMIF(Data!A94:A294,'Count &amp; Sum'!A95,Data!J94:J294)</f>
        <v>29110.13</v>
      </c>
    </row>
    <row r="96" spans="1:2" x14ac:dyDescent="0.3">
      <c r="A96" s="23" t="s">
        <v>142</v>
      </c>
      <c r="B96" s="23">
        <f>SUMIF(Data!A95:A295,'Count &amp; Sum'!A96,Data!J95:J295)</f>
        <v>8797.35</v>
      </c>
    </row>
    <row r="97" spans="1:2" x14ac:dyDescent="0.3">
      <c r="A97" s="23" t="s">
        <v>143</v>
      </c>
      <c r="B97" s="23">
        <f>SUMIF(Data!A96:A296,'Count &amp; Sum'!A97,Data!J96:J296)</f>
        <v>9537.34</v>
      </c>
    </row>
    <row r="98" spans="1:2" x14ac:dyDescent="0.3">
      <c r="A98" s="23" t="s">
        <v>144</v>
      </c>
      <c r="B98" s="23">
        <f>SUMIF(Data!A97:A297,'Count &amp; Sum'!A98,Data!J97:J297)</f>
        <v>3320.34</v>
      </c>
    </row>
    <row r="99" spans="1:2" x14ac:dyDescent="0.3">
      <c r="A99" s="23" t="s">
        <v>145</v>
      </c>
      <c r="B99" s="23">
        <f>SUMIF(Data!A98:A298,'Count &amp; Sum'!A99,Data!J98:J298)</f>
        <v>2811.01</v>
      </c>
    </row>
    <row r="100" spans="1:2" x14ac:dyDescent="0.3">
      <c r="A100" s="23" t="s">
        <v>146</v>
      </c>
      <c r="B100" s="23">
        <f>SUMIF(Data!A99:A299,'Count &amp; Sum'!A100,Data!J99:J299)</f>
        <v>29771.53</v>
      </c>
    </row>
    <row r="101" spans="1:2" x14ac:dyDescent="0.3">
      <c r="A101" s="23" t="s">
        <v>147</v>
      </c>
      <c r="B101" s="23">
        <f>SUMIF(Data!A100:A300,'Count &amp; Sum'!A101,Data!J100:J300)</f>
        <v>20067.45</v>
      </c>
    </row>
    <row r="102" spans="1:2" x14ac:dyDescent="0.3">
      <c r="A102" s="23" t="s">
        <v>148</v>
      </c>
      <c r="B102" s="23">
        <f>SUMIF(Data!A101:A301,'Count &amp; Sum'!A102,Data!J101:J301)</f>
        <v>30651.24</v>
      </c>
    </row>
    <row r="103" spans="1:2" x14ac:dyDescent="0.3">
      <c r="A103" s="23" t="s">
        <v>149</v>
      </c>
      <c r="B103" s="23">
        <f>SUMIF(Data!A102:A302,'Count &amp; Sum'!A103,Data!J102:J302)</f>
        <v>11883.65</v>
      </c>
    </row>
    <row r="104" spans="1:2" x14ac:dyDescent="0.3">
      <c r="A104" s="23" t="s">
        <v>150</v>
      </c>
      <c r="B104" s="23">
        <f>SUMIF(Data!A103:A303,'Count &amp; Sum'!A104,Data!J103:J303)</f>
        <v>14334.46</v>
      </c>
    </row>
    <row r="105" spans="1:2" x14ac:dyDescent="0.3">
      <c r="A105" s="23" t="s">
        <v>151</v>
      </c>
      <c r="B105" s="23">
        <f>SUMIF(Data!A104:A304,'Count &amp; Sum'!A105,Data!J104:J304)</f>
        <v>35872.379999999997</v>
      </c>
    </row>
    <row r="106" spans="1:2" x14ac:dyDescent="0.3">
      <c r="A106" s="23" t="s">
        <v>152</v>
      </c>
      <c r="B106" s="23">
        <f>SUMIF(Data!A105:A305,'Count &amp; Sum'!A106,Data!J105:J305)</f>
        <v>39897.43</v>
      </c>
    </row>
    <row r="107" spans="1:2" x14ac:dyDescent="0.3">
      <c r="A107" s="23" t="s">
        <v>153</v>
      </c>
      <c r="B107" s="23">
        <f>SUMIF(Data!A106:A306,'Count &amp; Sum'!A107,Data!J106:J306)</f>
        <v>4788.83</v>
      </c>
    </row>
    <row r="108" spans="1:2" x14ac:dyDescent="0.3">
      <c r="A108" s="23" t="s">
        <v>154</v>
      </c>
      <c r="B108" s="23">
        <f>SUMIF(Data!A107:A307,'Count &amp; Sum'!A108,Data!J107:J307)</f>
        <v>31346.68</v>
      </c>
    </row>
    <row r="109" spans="1:2" x14ac:dyDescent="0.3">
      <c r="A109" s="23" t="s">
        <v>155</v>
      </c>
      <c r="B109" s="23">
        <f>SUMIF(Data!A108:A308,'Count &amp; Sum'!A109,Data!J108:J308)</f>
        <v>22601.02</v>
      </c>
    </row>
    <row r="110" spans="1:2" x14ac:dyDescent="0.3">
      <c r="A110" s="23" t="s">
        <v>156</v>
      </c>
      <c r="B110" s="23">
        <f>SUMIF(Data!A109:A309,'Count &amp; Sum'!A110,Data!J109:J309)</f>
        <v>978.31</v>
      </c>
    </row>
    <row r="111" spans="1:2" x14ac:dyDescent="0.3">
      <c r="A111" s="23" t="s">
        <v>157</v>
      </c>
      <c r="B111" s="23">
        <f>SUMIF(Data!A110:A310,'Count &amp; Sum'!A111,Data!J110:J310)</f>
        <v>24968.77</v>
      </c>
    </row>
    <row r="112" spans="1:2" x14ac:dyDescent="0.3">
      <c r="A112" s="23" t="s">
        <v>158</v>
      </c>
      <c r="B112" s="23">
        <f>SUMIF(Data!A111:A311,'Count &amp; Sum'!A112,Data!J111:J311)</f>
        <v>11773.18</v>
      </c>
    </row>
    <row r="113" spans="1:2" x14ac:dyDescent="0.3">
      <c r="A113" s="23" t="s">
        <v>159</v>
      </c>
      <c r="B113" s="23">
        <f>SUMIF(Data!A112:A312,'Count &amp; Sum'!A113,Data!J112:J312)</f>
        <v>14542.07</v>
      </c>
    </row>
    <row r="114" spans="1:2" x14ac:dyDescent="0.3">
      <c r="A114" s="23" t="s">
        <v>160</v>
      </c>
      <c r="B114" s="23">
        <f>SUMIF(Data!A113:A313,'Count &amp; Sum'!A114,Data!J113:J313)</f>
        <v>38795.730000000003</v>
      </c>
    </row>
    <row r="115" spans="1:2" x14ac:dyDescent="0.3">
      <c r="A115" s="23" t="s">
        <v>161</v>
      </c>
      <c r="B115" s="23">
        <f>SUMIF(Data!A114:A314,'Count &amp; Sum'!A115,Data!J114:J314)</f>
        <v>29912.97</v>
      </c>
    </row>
    <row r="116" spans="1:2" x14ac:dyDescent="0.3">
      <c r="A116" s="23" t="s">
        <v>162</v>
      </c>
      <c r="B116" s="23">
        <f>SUMIF(Data!A115:A315,'Count &amp; Sum'!A116,Data!J115:J315)</f>
        <v>2937.25</v>
      </c>
    </row>
    <row r="117" spans="1:2" x14ac:dyDescent="0.3">
      <c r="A117" s="23" t="s">
        <v>163</v>
      </c>
      <c r="B117" s="23">
        <f>SUMIF(Data!A116:A316,'Count &amp; Sum'!A117,Data!J116:J316)</f>
        <v>27494.25</v>
      </c>
    </row>
    <row r="118" spans="1:2" x14ac:dyDescent="0.3">
      <c r="A118" s="23" t="s">
        <v>164</v>
      </c>
      <c r="B118" s="23">
        <f>SUMIF(Data!A117:A317,'Count &amp; Sum'!A118,Data!J117:J317)</f>
        <v>1309.43</v>
      </c>
    </row>
    <row r="119" spans="1:2" x14ac:dyDescent="0.3">
      <c r="A119" s="23" t="s">
        <v>165</v>
      </c>
      <c r="B119" s="23">
        <f>SUMIF(Data!A118:A318,'Count &amp; Sum'!A119,Data!J118:J318)</f>
        <v>35538.800000000003</v>
      </c>
    </row>
    <row r="120" spans="1:2" x14ac:dyDescent="0.3">
      <c r="A120" s="23" t="s">
        <v>166</v>
      </c>
      <c r="B120" s="23">
        <f>SUMIF(Data!A119:A319,'Count &amp; Sum'!A120,Data!J119:J319)</f>
        <v>24189.95</v>
      </c>
    </row>
    <row r="121" spans="1:2" x14ac:dyDescent="0.3">
      <c r="A121" s="23" t="s">
        <v>167</v>
      </c>
      <c r="B121" s="23">
        <f>SUMIF(Data!A120:A320,'Count &amp; Sum'!A121,Data!J120:J320)</f>
        <v>25528.2</v>
      </c>
    </row>
    <row r="122" spans="1:2" x14ac:dyDescent="0.3">
      <c r="A122" s="23" t="s">
        <v>168</v>
      </c>
      <c r="B122" s="23">
        <f>SUMIF(Data!A121:A321,'Count &amp; Sum'!A122,Data!J121:J321)</f>
        <v>1444.79</v>
      </c>
    </row>
    <row r="123" spans="1:2" x14ac:dyDescent="0.3">
      <c r="A123" s="23" t="s">
        <v>169</v>
      </c>
      <c r="B123" s="23">
        <f>SUMIF(Data!A122:A322,'Count &amp; Sum'!A123,Data!J122:J322)</f>
        <v>4084.41</v>
      </c>
    </row>
    <row r="124" spans="1:2" x14ac:dyDescent="0.3">
      <c r="A124" s="23" t="s">
        <v>170</v>
      </c>
      <c r="B124" s="23">
        <f>SUMIF(Data!A123:A323,'Count &amp; Sum'!A124,Data!J123:J323)</f>
        <v>21425.19</v>
      </c>
    </row>
    <row r="125" spans="1:2" x14ac:dyDescent="0.3">
      <c r="A125" s="23" t="s">
        <v>171</v>
      </c>
      <c r="B125" s="23">
        <f>SUMIF(Data!A124:A324,'Count &amp; Sum'!A125,Data!J124:J324)</f>
        <v>15764</v>
      </c>
    </row>
    <row r="126" spans="1:2" x14ac:dyDescent="0.3">
      <c r="A126" s="23" t="s">
        <v>172</v>
      </c>
      <c r="B126" s="23">
        <f>SUMIF(Data!A125:A325,'Count &amp; Sum'!A126,Data!J125:J325)</f>
        <v>32877.18</v>
      </c>
    </row>
    <row r="127" spans="1:2" x14ac:dyDescent="0.3">
      <c r="A127" s="23" t="s">
        <v>173</v>
      </c>
      <c r="B127" s="23">
        <f>SUMIF(Data!A126:A326,'Count &amp; Sum'!A127,Data!J126:J326)</f>
        <v>11931.71</v>
      </c>
    </row>
    <row r="128" spans="1:2" x14ac:dyDescent="0.3">
      <c r="A128" s="23" t="s">
        <v>174</v>
      </c>
      <c r="B128" s="23">
        <f>SUMIF(Data!A127:A327,'Count &amp; Sum'!A128,Data!J127:J327)</f>
        <v>16466.89</v>
      </c>
    </row>
    <row r="129" spans="1:2" x14ac:dyDescent="0.3">
      <c r="A129" s="23" t="s">
        <v>175</v>
      </c>
      <c r="B129" s="23">
        <f>SUMIF(Data!A128:A328,'Count &amp; Sum'!A129,Data!J128:J328)</f>
        <v>5503.95</v>
      </c>
    </row>
    <row r="130" spans="1:2" x14ac:dyDescent="0.3">
      <c r="A130" s="23" t="s">
        <v>176</v>
      </c>
      <c r="B130" s="23">
        <f>SUMIF(Data!A129:A329,'Count &amp; Sum'!A130,Data!J129:J329)</f>
        <v>20512.54</v>
      </c>
    </row>
    <row r="131" spans="1:2" x14ac:dyDescent="0.3">
      <c r="A131" s="23" t="s">
        <v>177</v>
      </c>
      <c r="B131" s="23">
        <f>SUMIF(Data!A130:A330,'Count &amp; Sum'!A131,Data!J130:J330)</f>
        <v>38236.85</v>
      </c>
    </row>
    <row r="132" spans="1:2" x14ac:dyDescent="0.3">
      <c r="A132" s="23" t="s">
        <v>178</v>
      </c>
      <c r="B132" s="23">
        <f>SUMIF(Data!A131:A331,'Count &amp; Sum'!A132,Data!J131:J331)</f>
        <v>11223.16</v>
      </c>
    </row>
    <row r="133" spans="1:2" x14ac:dyDescent="0.3">
      <c r="A133" s="23" t="s">
        <v>179</v>
      </c>
      <c r="B133" s="23">
        <f>SUMIF(Data!A132:A332,'Count &amp; Sum'!A133,Data!J132:J332)</f>
        <v>31800.6</v>
      </c>
    </row>
    <row r="134" spans="1:2" x14ac:dyDescent="0.3">
      <c r="A134" s="23" t="s">
        <v>180</v>
      </c>
      <c r="B134" s="23">
        <f>SUMIF(Data!A133:A333,'Count &amp; Sum'!A134,Data!J133:J333)</f>
        <v>7227.08</v>
      </c>
    </row>
    <row r="135" spans="1:2" x14ac:dyDescent="0.3">
      <c r="A135" s="23" t="s">
        <v>181</v>
      </c>
      <c r="B135" s="23">
        <f>SUMIF(Data!A134:A334,'Count &amp; Sum'!A135,Data!J134:J334)</f>
        <v>35527.4</v>
      </c>
    </row>
    <row r="136" spans="1:2" x14ac:dyDescent="0.3">
      <c r="A136" s="23" t="s">
        <v>182</v>
      </c>
      <c r="B136" s="23">
        <f>SUMIF(Data!A135:A335,'Count &amp; Sum'!A136,Data!J135:J335)</f>
        <v>20895.22</v>
      </c>
    </row>
    <row r="137" spans="1:2" x14ac:dyDescent="0.3">
      <c r="A137" s="23" t="s">
        <v>183</v>
      </c>
      <c r="B137" s="23">
        <f>SUMIF(Data!A136:A336,'Count &amp; Sum'!A137,Data!J136:J336)</f>
        <v>5731.68</v>
      </c>
    </row>
    <row r="138" spans="1:2" x14ac:dyDescent="0.3">
      <c r="A138" s="23" t="s">
        <v>184</v>
      </c>
      <c r="B138" s="23">
        <f>SUMIF(Data!A137:A337,'Count &amp; Sum'!A138,Data!J137:J337)</f>
        <v>31481.71</v>
      </c>
    </row>
    <row r="139" spans="1:2" x14ac:dyDescent="0.3">
      <c r="A139" s="23" t="s">
        <v>185</v>
      </c>
      <c r="B139" s="23">
        <f>SUMIF(Data!A138:A338,'Count &amp; Sum'!A139,Data!J138:J338)</f>
        <v>35593.4</v>
      </c>
    </row>
    <row r="140" spans="1:2" x14ac:dyDescent="0.3">
      <c r="A140" s="23" t="s">
        <v>186</v>
      </c>
      <c r="B140" s="23">
        <f>SUMIF(Data!A139:A339,'Count &amp; Sum'!A140,Data!J139:J339)</f>
        <v>6486.4</v>
      </c>
    </row>
    <row r="141" spans="1:2" x14ac:dyDescent="0.3">
      <c r="A141" s="23" t="s">
        <v>187</v>
      </c>
      <c r="B141" s="23">
        <f>SUMIF(Data!A140:A340,'Count &amp; Sum'!A141,Data!J140:J340)</f>
        <v>5402.7</v>
      </c>
    </row>
    <row r="142" spans="1:2" x14ac:dyDescent="0.3">
      <c r="A142" s="23" t="s">
        <v>188</v>
      </c>
      <c r="B142" s="23">
        <f>SUMIF(Data!A141:A341,'Count &amp; Sum'!A142,Data!J141:J341)</f>
        <v>10654.43</v>
      </c>
    </row>
    <row r="143" spans="1:2" x14ac:dyDescent="0.3">
      <c r="A143" s="23" t="s">
        <v>189</v>
      </c>
      <c r="B143" s="23">
        <f>SUMIF(Data!A142:A342,'Count &amp; Sum'!A143,Data!J142:J342)</f>
        <v>20985.98</v>
      </c>
    </row>
    <row r="144" spans="1:2" x14ac:dyDescent="0.3">
      <c r="A144" s="23" t="s">
        <v>190</v>
      </c>
      <c r="B144" s="23">
        <f>SUMIF(Data!A143:A343,'Count &amp; Sum'!A144,Data!J143:J343)</f>
        <v>38044.33</v>
      </c>
    </row>
    <row r="145" spans="1:2" x14ac:dyDescent="0.3">
      <c r="A145" s="23" t="s">
        <v>191</v>
      </c>
      <c r="B145" s="23">
        <f>SUMIF(Data!A144:A344,'Count &amp; Sum'!A145,Data!J144:J344)</f>
        <v>34535.49</v>
      </c>
    </row>
    <row r="146" spans="1:2" x14ac:dyDescent="0.3">
      <c r="A146" s="23" t="s">
        <v>192</v>
      </c>
      <c r="B146" s="23">
        <f>SUMIF(Data!A145:A345,'Count &amp; Sum'!A146,Data!J145:J345)</f>
        <v>13525.34</v>
      </c>
    </row>
    <row r="147" spans="1:2" x14ac:dyDescent="0.3">
      <c r="A147" s="23" t="s">
        <v>193</v>
      </c>
      <c r="B147" s="23">
        <f>SUMIF(Data!A146:A346,'Count &amp; Sum'!A147,Data!J146:J346)</f>
        <v>2260.59</v>
      </c>
    </row>
    <row r="148" spans="1:2" x14ac:dyDescent="0.3">
      <c r="A148" s="23" t="s">
        <v>194</v>
      </c>
      <c r="B148" s="23">
        <f>SUMIF(Data!A147:A347,'Count &amp; Sum'!A148,Data!J147:J347)</f>
        <v>24151.75</v>
      </c>
    </row>
    <row r="149" spans="1:2" x14ac:dyDescent="0.3">
      <c r="A149" s="23" t="s">
        <v>195</v>
      </c>
      <c r="B149" s="23">
        <f>SUMIF(Data!A148:A348,'Count &amp; Sum'!A149,Data!J148:J348)</f>
        <v>23330.67</v>
      </c>
    </row>
    <row r="150" spans="1:2" x14ac:dyDescent="0.3">
      <c r="A150" s="23" t="s">
        <v>196</v>
      </c>
      <c r="B150" s="23">
        <f>SUMIF(Data!A149:A349,'Count &amp; Sum'!A150,Data!J149:J349)</f>
        <v>10268.280000000001</v>
      </c>
    </row>
    <row r="151" spans="1:2" x14ac:dyDescent="0.3">
      <c r="A151" s="23" t="s">
        <v>197</v>
      </c>
      <c r="B151" s="23">
        <f>SUMIF(Data!A150:A350,'Count &amp; Sum'!A151,Data!J150:J350)</f>
        <v>24459.58</v>
      </c>
    </row>
    <row r="152" spans="1:2" x14ac:dyDescent="0.3">
      <c r="A152" s="23" t="s">
        <v>198</v>
      </c>
      <c r="B152" s="23">
        <f>SUMIF(Data!A151:A351,'Count &amp; Sum'!A152,Data!J151:J351)</f>
        <v>39278.5</v>
      </c>
    </row>
    <row r="153" spans="1:2" x14ac:dyDescent="0.3">
      <c r="A153" s="23" t="s">
        <v>199</v>
      </c>
      <c r="B153" s="23">
        <f>SUMIF(Data!A152:A352,'Count &amp; Sum'!A153,Data!J152:J352)</f>
        <v>6459.97</v>
      </c>
    </row>
    <row r="154" spans="1:2" x14ac:dyDescent="0.3">
      <c r="A154" s="23" t="s">
        <v>200</v>
      </c>
      <c r="B154" s="23">
        <f>SUMIF(Data!A153:A353,'Count &amp; Sum'!A154,Data!J153:J353)</f>
        <v>13140.25</v>
      </c>
    </row>
    <row r="155" spans="1:2" x14ac:dyDescent="0.3">
      <c r="A155" s="23" t="s">
        <v>201</v>
      </c>
      <c r="B155" s="23">
        <f>SUMIF(Data!A154:A354,'Count &amp; Sum'!A155,Data!J154:J354)</f>
        <v>34039</v>
      </c>
    </row>
    <row r="156" spans="1:2" x14ac:dyDescent="0.3">
      <c r="A156" s="23" t="s">
        <v>202</v>
      </c>
      <c r="B156" s="23">
        <f>SUMIF(Data!A155:A355,'Count &amp; Sum'!A156,Data!J155:J355)</f>
        <v>7039.66</v>
      </c>
    </row>
    <row r="157" spans="1:2" x14ac:dyDescent="0.3">
      <c r="A157" s="23" t="s">
        <v>203</v>
      </c>
      <c r="B157" s="23">
        <f>SUMIF(Data!A156:A356,'Count &amp; Sum'!A157,Data!J156:J356)</f>
        <v>5847.74</v>
      </c>
    </row>
    <row r="158" spans="1:2" x14ac:dyDescent="0.3">
      <c r="A158" s="23" t="s">
        <v>204</v>
      </c>
      <c r="B158" s="23">
        <f>SUMIF(Data!A157:A357,'Count &amp; Sum'!A158,Data!J157:J357)</f>
        <v>7543.26</v>
      </c>
    </row>
    <row r="159" spans="1:2" x14ac:dyDescent="0.3">
      <c r="A159" s="23" t="s">
        <v>205</v>
      </c>
      <c r="B159" s="23">
        <f>SUMIF(Data!A158:A358,'Count &amp; Sum'!A159,Data!J158:J358)</f>
        <v>30972.14</v>
      </c>
    </row>
    <row r="160" spans="1:2" x14ac:dyDescent="0.3">
      <c r="A160" s="23" t="s">
        <v>206</v>
      </c>
      <c r="B160" s="23">
        <f>SUMIF(Data!A159:A359,'Count &amp; Sum'!A160,Data!J159:J359)</f>
        <v>5795.26</v>
      </c>
    </row>
    <row r="161" spans="1:2" x14ac:dyDescent="0.3">
      <c r="A161" s="23" t="s">
        <v>207</v>
      </c>
      <c r="B161" s="23">
        <f>SUMIF(Data!A160:A360,'Count &amp; Sum'!A161,Data!J160:J360)</f>
        <v>4372.08</v>
      </c>
    </row>
    <row r="162" spans="1:2" x14ac:dyDescent="0.3">
      <c r="A162" s="23" t="s">
        <v>208</v>
      </c>
      <c r="B162" s="23">
        <f>SUMIF(Data!A161:A361,'Count &amp; Sum'!A162,Data!J161:J361)</f>
        <v>25376.720000000001</v>
      </c>
    </row>
    <row r="163" spans="1:2" x14ac:dyDescent="0.3">
      <c r="A163" s="23" t="s">
        <v>209</v>
      </c>
      <c r="B163" s="23">
        <f>SUMIF(Data!A162:A362,'Count &amp; Sum'!A163,Data!J162:J362)</f>
        <v>30859.74</v>
      </c>
    </row>
    <row r="164" spans="1:2" x14ac:dyDescent="0.3">
      <c r="A164" s="23" t="s">
        <v>210</v>
      </c>
      <c r="B164" s="23">
        <f>SUMIF(Data!A163:A363,'Count &amp; Sum'!A164,Data!J163:J363)</f>
        <v>30448.78</v>
      </c>
    </row>
    <row r="165" spans="1:2" x14ac:dyDescent="0.3">
      <c r="A165" s="23" t="s">
        <v>211</v>
      </c>
      <c r="B165" s="23">
        <f>SUMIF(Data!A164:A364,'Count &amp; Sum'!A165,Data!J164:J364)</f>
        <v>17777.63</v>
      </c>
    </row>
    <row r="166" spans="1:2" x14ac:dyDescent="0.3">
      <c r="A166" s="23" t="s">
        <v>212</v>
      </c>
      <c r="B166" s="23">
        <f>SUMIF(Data!A165:A365,'Count &amp; Sum'!A166,Data!J165:J365)</f>
        <v>36730.730000000003</v>
      </c>
    </row>
    <row r="167" spans="1:2" x14ac:dyDescent="0.3">
      <c r="A167" s="23" t="s">
        <v>213</v>
      </c>
      <c r="B167" s="23">
        <f>SUMIF(Data!A166:A366,'Count &amp; Sum'!A167,Data!J166:J366)</f>
        <v>6714.31</v>
      </c>
    </row>
    <row r="168" spans="1:2" x14ac:dyDescent="0.3">
      <c r="A168" s="23" t="s">
        <v>214</v>
      </c>
      <c r="B168" s="23">
        <f>SUMIF(Data!A167:A367,'Count &amp; Sum'!A168,Data!J167:J367)</f>
        <v>18107.64</v>
      </c>
    </row>
    <row r="169" spans="1:2" x14ac:dyDescent="0.3">
      <c r="A169" s="23" t="s">
        <v>215</v>
      </c>
      <c r="B169" s="23">
        <f>SUMIF(Data!A168:A368,'Count &amp; Sum'!A169,Data!J168:J368)</f>
        <v>15276.06</v>
      </c>
    </row>
    <row r="170" spans="1:2" x14ac:dyDescent="0.3">
      <c r="A170" s="23" t="s">
        <v>216</v>
      </c>
      <c r="B170" s="23">
        <f>SUMIF(Data!A169:A369,'Count &amp; Sum'!A170,Data!J169:J369)</f>
        <v>22210.49</v>
      </c>
    </row>
    <row r="171" spans="1:2" x14ac:dyDescent="0.3">
      <c r="A171" s="23" t="s">
        <v>217</v>
      </c>
      <c r="B171" s="23">
        <f>SUMIF(Data!A170:A370,'Count &amp; Sum'!A171,Data!J170:J370)</f>
        <v>8375.8799999999992</v>
      </c>
    </row>
    <row r="172" spans="1:2" x14ac:dyDescent="0.3">
      <c r="A172" s="23" t="s">
        <v>218</v>
      </c>
      <c r="B172" s="23">
        <f>SUMIF(Data!A171:A371,'Count &amp; Sum'!A172,Data!J171:J371)</f>
        <v>6567.22</v>
      </c>
    </row>
    <row r="173" spans="1:2" x14ac:dyDescent="0.3">
      <c r="A173" s="23" t="s">
        <v>219</v>
      </c>
      <c r="B173" s="23">
        <f>SUMIF(Data!A172:A372,'Count &amp; Sum'!A173,Data!J172:J372)</f>
        <v>39347.65</v>
      </c>
    </row>
    <row r="174" spans="1:2" x14ac:dyDescent="0.3">
      <c r="A174" s="23" t="s">
        <v>220</v>
      </c>
      <c r="B174" s="23">
        <f>SUMIF(Data!A173:A373,'Count &amp; Sum'!A174,Data!J173:J373)</f>
        <v>12643.35</v>
      </c>
    </row>
    <row r="175" spans="1:2" x14ac:dyDescent="0.3">
      <c r="A175" s="23" t="s">
        <v>221</v>
      </c>
      <c r="B175" s="23">
        <f>SUMIF(Data!A174:A374,'Count &amp; Sum'!A175,Data!J174:J374)</f>
        <v>20388.310000000001</v>
      </c>
    </row>
    <row r="176" spans="1:2" x14ac:dyDescent="0.3">
      <c r="A176" s="23" t="s">
        <v>222</v>
      </c>
      <c r="B176" s="23">
        <f>SUMIF(Data!A175:A375,'Count &amp; Sum'!A176,Data!J175:J375)</f>
        <v>36717.72</v>
      </c>
    </row>
    <row r="177" spans="1:2" x14ac:dyDescent="0.3">
      <c r="A177" s="23" t="s">
        <v>223</v>
      </c>
      <c r="B177" s="23">
        <f>SUMIF(Data!A176:A376,'Count &amp; Sum'!A177,Data!J176:J376)</f>
        <v>12663.95</v>
      </c>
    </row>
    <row r="178" spans="1:2" x14ac:dyDescent="0.3">
      <c r="A178" s="23" t="s">
        <v>224</v>
      </c>
      <c r="B178" s="23">
        <f>SUMIF(Data!A177:A377,'Count &amp; Sum'!A178,Data!J177:J377)</f>
        <v>15170.56</v>
      </c>
    </row>
    <row r="179" spans="1:2" x14ac:dyDescent="0.3">
      <c r="A179" s="23" t="s">
        <v>225</v>
      </c>
      <c r="B179" s="23">
        <f>SUMIF(Data!A178:A378,'Count &amp; Sum'!A179,Data!J178:J378)</f>
        <v>22875.68</v>
      </c>
    </row>
    <row r="180" spans="1:2" x14ac:dyDescent="0.3">
      <c r="A180" s="23" t="s">
        <v>226</v>
      </c>
      <c r="B180" s="23">
        <f>SUMIF(Data!A179:A379,'Count &amp; Sum'!A180,Data!J179:J379)</f>
        <v>3468.05</v>
      </c>
    </row>
    <row r="181" spans="1:2" x14ac:dyDescent="0.3">
      <c r="A181" s="23" t="s">
        <v>227</v>
      </c>
      <c r="B181" s="23">
        <f>SUMIF(Data!A180:A380,'Count &amp; Sum'!A181,Data!J180:J380)</f>
        <v>1716.38</v>
      </c>
    </row>
    <row r="182" spans="1:2" x14ac:dyDescent="0.3">
      <c r="A182" s="23" t="s">
        <v>228</v>
      </c>
      <c r="B182" s="23">
        <f>SUMIF(Data!A181:A381,'Count &amp; Sum'!A182,Data!J181:J381)</f>
        <v>25604.14</v>
      </c>
    </row>
    <row r="183" spans="1:2" x14ac:dyDescent="0.3">
      <c r="A183" s="23" t="s">
        <v>229</v>
      </c>
      <c r="B183" s="23">
        <f>SUMIF(Data!A182:A382,'Count &amp; Sum'!A183,Data!J182:J382)</f>
        <v>15338.55</v>
      </c>
    </row>
    <row r="184" spans="1:2" x14ac:dyDescent="0.3">
      <c r="A184" s="23" t="s">
        <v>230</v>
      </c>
      <c r="B184" s="23">
        <f>SUMIF(Data!A183:A383,'Count &amp; Sum'!A184,Data!J183:J383)</f>
        <v>3916.45</v>
      </c>
    </row>
    <row r="185" spans="1:2" x14ac:dyDescent="0.3">
      <c r="A185" s="23" t="s">
        <v>231</v>
      </c>
      <c r="B185" s="23">
        <f>SUMIF(Data!A184:A384,'Count &amp; Sum'!A185,Data!J184:J384)</f>
        <v>12036.2</v>
      </c>
    </row>
    <row r="186" spans="1:2" x14ac:dyDescent="0.3">
      <c r="A186" s="23" t="s">
        <v>232</v>
      </c>
      <c r="B186" s="23">
        <f>SUMIF(Data!A185:A385,'Count &amp; Sum'!A186,Data!J185:J385)</f>
        <v>27983.49</v>
      </c>
    </row>
    <row r="187" spans="1:2" x14ac:dyDescent="0.3">
      <c r="A187" s="23" t="s">
        <v>233</v>
      </c>
      <c r="B187" s="23">
        <f>SUMIF(Data!A186:A386,'Count &amp; Sum'!A187,Data!J186:J386)</f>
        <v>30576.58</v>
      </c>
    </row>
    <row r="188" spans="1:2" x14ac:dyDescent="0.3">
      <c r="A188" s="23" t="s">
        <v>234</v>
      </c>
      <c r="B188" s="23">
        <f>SUMIF(Data!A187:A387,'Count &amp; Sum'!A188,Data!J187:J387)</f>
        <v>20611.53</v>
      </c>
    </row>
    <row r="189" spans="1:2" x14ac:dyDescent="0.3">
      <c r="A189" s="23" t="s">
        <v>235</v>
      </c>
      <c r="B189" s="23">
        <f>SUMIF(Data!A188:A388,'Count &amp; Sum'!A189,Data!J188:J388)</f>
        <v>9453.9500000000007</v>
      </c>
    </row>
    <row r="190" spans="1:2" x14ac:dyDescent="0.3">
      <c r="A190" s="23" t="s">
        <v>236</v>
      </c>
      <c r="B190" s="23">
        <f>SUMIF(Data!A189:A389,'Count &amp; Sum'!A190,Data!J189:J389)</f>
        <v>33708.239999999998</v>
      </c>
    </row>
    <row r="191" spans="1:2" x14ac:dyDescent="0.3">
      <c r="A191" s="23" t="s">
        <v>237</v>
      </c>
      <c r="B191" s="23">
        <f>SUMIF(Data!A190:A390,'Count &amp; Sum'!A191,Data!J190:J390)</f>
        <v>8941.57</v>
      </c>
    </row>
    <row r="192" spans="1:2" x14ac:dyDescent="0.3">
      <c r="A192" s="23" t="s">
        <v>238</v>
      </c>
      <c r="B192" s="23">
        <f>SUMIF(Data!A191:A391,'Count &amp; Sum'!A192,Data!J191:J391)</f>
        <v>30471.09</v>
      </c>
    </row>
    <row r="193" spans="1:2" x14ac:dyDescent="0.3">
      <c r="A193" s="23" t="s">
        <v>239</v>
      </c>
      <c r="B193" s="23">
        <f>SUMIF(Data!A192:A392,'Count &amp; Sum'!A193,Data!J192:J392)</f>
        <v>6806.38</v>
      </c>
    </row>
    <row r="194" spans="1:2" x14ac:dyDescent="0.3">
      <c r="A194" s="23" t="s">
        <v>240</v>
      </c>
      <c r="B194" s="23">
        <f>SUMIF(Data!A193:A393,'Count &amp; Sum'!A194,Data!J193:J393)</f>
        <v>37446.239999999998</v>
      </c>
    </row>
    <row r="195" spans="1:2" x14ac:dyDescent="0.3">
      <c r="A195" s="23" t="s">
        <v>241</v>
      </c>
      <c r="B195" s="23">
        <f>SUMIF(Data!A194:A394,'Count &amp; Sum'!A195,Data!J194:J394)</f>
        <v>31116.13</v>
      </c>
    </row>
    <row r="196" spans="1:2" x14ac:dyDescent="0.3">
      <c r="A196" s="23" t="s">
        <v>242</v>
      </c>
      <c r="B196" s="23">
        <f>SUMIF(Data!A195:A395,'Count &amp; Sum'!A196,Data!J195:J395)</f>
        <v>20448.599999999999</v>
      </c>
    </row>
    <row r="197" spans="1:2" x14ac:dyDescent="0.3">
      <c r="A197" s="23" t="s">
        <v>243</v>
      </c>
      <c r="B197" s="23">
        <f>SUMIF(Data!A196:A396,'Count &amp; Sum'!A197,Data!J196:J396)</f>
        <v>17819.509999999998</v>
      </c>
    </row>
    <row r="198" spans="1:2" x14ac:dyDescent="0.3">
      <c r="A198" s="23" t="s">
        <v>244</v>
      </c>
      <c r="B198" s="23">
        <f>SUMIF(Data!A197:A397,'Count &amp; Sum'!A198,Data!J197:J397)</f>
        <v>23260.65</v>
      </c>
    </row>
    <row r="199" spans="1:2" x14ac:dyDescent="0.3">
      <c r="A199" s="23" t="s">
        <v>245</v>
      </c>
      <c r="B199" s="23">
        <f>SUMIF(Data!A198:A398,'Count &amp; Sum'!A199,Data!J198:J398)</f>
        <v>26715.68</v>
      </c>
    </row>
    <row r="200" spans="1:2" x14ac:dyDescent="0.3">
      <c r="A200" s="23" t="s">
        <v>246</v>
      </c>
      <c r="B200" s="23">
        <f>SUMIF(Data!A199:A399,'Count &amp; Sum'!A200,Data!J199:J399)</f>
        <v>22669</v>
      </c>
    </row>
    <row r="201" spans="1:2" x14ac:dyDescent="0.3">
      <c r="A201" s="23" t="s">
        <v>247</v>
      </c>
      <c r="B201" s="23">
        <f>SUMIF(Data!A200:A400,'Count &amp; Sum'!A201,Data!J200:J400)</f>
        <v>28076.03</v>
      </c>
    </row>
  </sheetData>
  <phoneticPr fontId="2"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4603-B653-43A1-9194-C8C44FCAAD04}">
  <dimension ref="A5:R27"/>
  <sheetViews>
    <sheetView topLeftCell="A2" workbookViewId="0">
      <selection activeCell="R19" sqref="R19"/>
    </sheetView>
  </sheetViews>
  <sheetFormatPr defaultRowHeight="14.4" x14ac:dyDescent="0.3"/>
  <cols>
    <col min="1" max="1" width="8.6640625" bestFit="1" customWidth="1"/>
    <col min="2" max="2" width="9.5546875" bestFit="1" customWidth="1"/>
    <col min="3" max="3" width="6.88671875" bestFit="1" customWidth="1"/>
    <col min="4" max="4" width="8.33203125" bestFit="1" customWidth="1"/>
    <col min="5" max="5" width="13.109375" bestFit="1" customWidth="1"/>
  </cols>
  <sheetData>
    <row r="5" spans="1:18" x14ac:dyDescent="0.3">
      <c r="A5" s="47" t="s">
        <v>278</v>
      </c>
      <c r="B5" s="18"/>
      <c r="C5" s="18"/>
      <c r="D5" s="18"/>
      <c r="E5" s="18"/>
      <c r="F5" s="18"/>
      <c r="G5" s="18"/>
      <c r="H5" s="18"/>
      <c r="I5" s="18"/>
      <c r="J5" s="18"/>
      <c r="K5" s="2"/>
      <c r="L5" s="2"/>
      <c r="M5" s="2"/>
      <c r="N5" s="2"/>
      <c r="O5" s="2"/>
    </row>
    <row r="6" spans="1:18" x14ac:dyDescent="0.3">
      <c r="A6" s="48" t="s">
        <v>279</v>
      </c>
      <c r="B6" s="49"/>
      <c r="C6" s="49"/>
      <c r="D6" s="49"/>
      <c r="E6" s="49"/>
      <c r="F6" s="49"/>
      <c r="G6" s="49"/>
      <c r="H6" s="49"/>
      <c r="I6" s="49"/>
      <c r="J6" s="49"/>
      <c r="K6" s="49"/>
      <c r="L6" s="49"/>
      <c r="M6" s="49"/>
      <c r="N6" s="49"/>
      <c r="O6" s="49"/>
    </row>
    <row r="7" spans="1:18" ht="15" x14ac:dyDescent="0.35">
      <c r="A7" s="18" t="s">
        <v>280</v>
      </c>
      <c r="B7" s="18"/>
      <c r="C7" s="18"/>
      <c r="D7" s="18"/>
      <c r="E7" s="18"/>
      <c r="F7" s="18"/>
      <c r="G7" s="18"/>
      <c r="H7" s="18"/>
      <c r="I7" s="18"/>
      <c r="J7" s="18"/>
      <c r="K7" s="18"/>
      <c r="L7" s="18"/>
      <c r="M7" s="18"/>
      <c r="N7" s="18"/>
      <c r="O7" s="18"/>
      <c r="P7" s="18"/>
      <c r="Q7" s="18"/>
      <c r="R7" s="18"/>
    </row>
    <row r="9" spans="1:18" x14ac:dyDescent="0.3">
      <c r="A9" s="1" t="s">
        <v>0</v>
      </c>
      <c r="B9" s="1" t="s">
        <v>3</v>
      </c>
      <c r="C9" s="1" t="s">
        <v>4</v>
      </c>
      <c r="D9" s="1" t="s">
        <v>5</v>
      </c>
      <c r="E9" s="1" t="s">
        <v>6</v>
      </c>
      <c r="F9" s="1" t="s">
        <v>9</v>
      </c>
      <c r="G9" s="1" t="s">
        <v>13</v>
      </c>
      <c r="I9" s="1" t="s">
        <v>0</v>
      </c>
      <c r="J9" s="1" t="s">
        <v>3</v>
      </c>
      <c r="K9" s="1" t="s">
        <v>4</v>
      </c>
      <c r="L9" s="1" t="s">
        <v>5</v>
      </c>
      <c r="M9" s="1" t="s">
        <v>6</v>
      </c>
      <c r="N9" s="1" t="s">
        <v>9</v>
      </c>
      <c r="O9" s="1" t="s">
        <v>13</v>
      </c>
    </row>
    <row r="10" spans="1:18" x14ac:dyDescent="0.3">
      <c r="A10" s="2" t="s">
        <v>14</v>
      </c>
      <c r="B10" s="2" t="s">
        <v>15</v>
      </c>
      <c r="C10" s="2" t="s">
        <v>16</v>
      </c>
      <c r="D10" s="2" t="s">
        <v>17</v>
      </c>
      <c r="E10" s="2" t="s">
        <v>18</v>
      </c>
      <c r="F10" s="2">
        <v>20012.71</v>
      </c>
      <c r="G10" s="2">
        <v>4906.33</v>
      </c>
      <c r="I10" s="2" t="s">
        <v>14</v>
      </c>
      <c r="J10" s="2" t="s">
        <v>15</v>
      </c>
      <c r="K10" s="2" t="s">
        <v>16</v>
      </c>
      <c r="L10" s="2" t="s">
        <v>17</v>
      </c>
      <c r="M10" s="2" t="s">
        <v>18</v>
      </c>
      <c r="N10" s="2">
        <v>20012.71</v>
      </c>
      <c r="O10" s="2">
        <v>4906.33</v>
      </c>
    </row>
    <row r="11" spans="1:18" x14ac:dyDescent="0.3">
      <c r="A11" s="2" t="s">
        <v>21</v>
      </c>
      <c r="B11" s="2" t="s">
        <v>22</v>
      </c>
      <c r="C11" s="2" t="s">
        <v>23</v>
      </c>
      <c r="D11" s="2" t="s">
        <v>24</v>
      </c>
      <c r="E11" s="2" t="s">
        <v>18</v>
      </c>
      <c r="F11" s="2">
        <v>32526.73</v>
      </c>
      <c r="G11" s="2">
        <v>8954.1</v>
      </c>
      <c r="I11" s="2" t="s">
        <v>21</v>
      </c>
      <c r="J11" s="2" t="s">
        <v>22</v>
      </c>
      <c r="K11" s="2" t="s">
        <v>23</v>
      </c>
      <c r="L11" s="2" t="s">
        <v>24</v>
      </c>
      <c r="M11" s="2" t="s">
        <v>18</v>
      </c>
      <c r="N11" s="2">
        <v>32526.73</v>
      </c>
      <c r="O11" s="2">
        <v>8954.1</v>
      </c>
    </row>
    <row r="12" spans="1:18" x14ac:dyDescent="0.3">
      <c r="A12" s="2" t="s">
        <v>26</v>
      </c>
      <c r="B12" s="2" t="s">
        <v>27</v>
      </c>
      <c r="C12" s="2" t="s">
        <v>28</v>
      </c>
      <c r="D12" s="2" t="s">
        <v>24</v>
      </c>
      <c r="E12" s="2" t="s">
        <v>29</v>
      </c>
      <c r="F12" s="2">
        <v>4927.51</v>
      </c>
      <c r="G12" s="2">
        <v>849.13</v>
      </c>
      <c r="I12" s="2" t="s">
        <v>26</v>
      </c>
      <c r="J12" s="2" t="s">
        <v>27</v>
      </c>
      <c r="K12" s="2" t="s">
        <v>28</v>
      </c>
      <c r="L12" s="2" t="s">
        <v>24</v>
      </c>
      <c r="M12" s="2" t="s">
        <v>29</v>
      </c>
      <c r="N12" s="2">
        <v>4927.51</v>
      </c>
      <c r="O12" s="2">
        <v>849.13</v>
      </c>
    </row>
    <row r="13" spans="1:18" x14ac:dyDescent="0.3">
      <c r="A13" s="2" t="s">
        <v>31</v>
      </c>
      <c r="B13" s="2" t="s">
        <v>32</v>
      </c>
      <c r="C13" s="2" t="s">
        <v>16</v>
      </c>
      <c r="D13" s="2" t="s">
        <v>17</v>
      </c>
      <c r="E13" s="2" t="s">
        <v>18</v>
      </c>
      <c r="F13" s="2">
        <v>38088.83</v>
      </c>
      <c r="G13" s="2">
        <v>10876.52</v>
      </c>
      <c r="I13" s="2" t="s">
        <v>31</v>
      </c>
      <c r="J13" s="2" t="s">
        <v>32</v>
      </c>
      <c r="K13" s="2" t="s">
        <v>16</v>
      </c>
      <c r="L13" s="2" t="s">
        <v>17</v>
      </c>
      <c r="M13" s="2" t="s">
        <v>18</v>
      </c>
      <c r="N13" s="2">
        <v>38088.83</v>
      </c>
      <c r="O13" s="2">
        <v>10876.52</v>
      </c>
    </row>
    <row r="14" spans="1:18" x14ac:dyDescent="0.3">
      <c r="A14" s="2" t="s">
        <v>33</v>
      </c>
      <c r="B14" s="2" t="s">
        <v>22</v>
      </c>
      <c r="C14" s="2" t="s">
        <v>16</v>
      </c>
      <c r="D14" s="2" t="s">
        <v>34</v>
      </c>
      <c r="E14" s="2" t="s">
        <v>35</v>
      </c>
      <c r="F14" s="2">
        <v>19018.79</v>
      </c>
      <c r="G14" s="2">
        <v>3500.18</v>
      </c>
      <c r="I14" s="2" t="s">
        <v>33</v>
      </c>
      <c r="J14" s="2" t="s">
        <v>22</v>
      </c>
      <c r="K14" s="2" t="s">
        <v>16</v>
      </c>
      <c r="L14" s="2" t="s">
        <v>34</v>
      </c>
      <c r="M14" s="2" t="s">
        <v>35</v>
      </c>
      <c r="N14" s="2">
        <v>19018.79</v>
      </c>
      <c r="O14" s="2">
        <v>3500.18</v>
      </c>
    </row>
    <row r="15" spans="1:18" x14ac:dyDescent="0.3">
      <c r="A15" s="2" t="s">
        <v>36</v>
      </c>
      <c r="B15" s="2" t="s">
        <v>37</v>
      </c>
      <c r="C15" s="2" t="s">
        <v>28</v>
      </c>
      <c r="D15" s="2" t="s">
        <v>38</v>
      </c>
      <c r="E15" s="2" t="s">
        <v>29</v>
      </c>
      <c r="F15" s="2">
        <v>13800.67</v>
      </c>
      <c r="G15" s="2">
        <v>4054.21</v>
      </c>
      <c r="I15" s="2" t="s">
        <v>36</v>
      </c>
      <c r="J15" s="2" t="s">
        <v>37</v>
      </c>
      <c r="K15" s="2" t="s">
        <v>28</v>
      </c>
      <c r="L15" s="2" t="s">
        <v>38</v>
      </c>
      <c r="M15" s="2" t="s">
        <v>29</v>
      </c>
      <c r="N15" s="2">
        <v>13800.67</v>
      </c>
      <c r="O15" s="2">
        <v>4054.21</v>
      </c>
      <c r="R15" s="1" t="s">
        <v>0</v>
      </c>
    </row>
    <row r="16" spans="1:18" x14ac:dyDescent="0.3">
      <c r="A16" s="2" t="s">
        <v>40</v>
      </c>
      <c r="B16" s="2" t="s">
        <v>41</v>
      </c>
      <c r="C16" s="2" t="s">
        <v>42</v>
      </c>
      <c r="D16" s="2" t="s">
        <v>43</v>
      </c>
      <c r="E16" s="2" t="s">
        <v>18</v>
      </c>
      <c r="F16" s="2">
        <v>31318.959999999999</v>
      </c>
      <c r="G16" s="2">
        <v>6846.84</v>
      </c>
      <c r="I16" s="2" t="s">
        <v>40</v>
      </c>
      <c r="J16" s="2" t="s">
        <v>41</v>
      </c>
      <c r="K16" s="2" t="s">
        <v>42</v>
      </c>
      <c r="L16" s="2" t="s">
        <v>43</v>
      </c>
      <c r="M16" s="2" t="s">
        <v>18</v>
      </c>
      <c r="N16" s="2">
        <v>31318.959999999999</v>
      </c>
      <c r="O16" s="2">
        <v>6846.84</v>
      </c>
      <c r="R16" s="2" t="s">
        <v>21</v>
      </c>
    </row>
    <row r="17" spans="1:15" x14ac:dyDescent="0.3">
      <c r="A17" s="2" t="s">
        <v>44</v>
      </c>
      <c r="B17" s="2" t="s">
        <v>22</v>
      </c>
      <c r="C17" s="2" t="s">
        <v>16</v>
      </c>
      <c r="D17" s="2" t="s">
        <v>34</v>
      </c>
      <c r="E17" s="2" t="s">
        <v>35</v>
      </c>
      <c r="F17" s="2">
        <v>10853.73</v>
      </c>
      <c r="G17" s="2">
        <v>2442.15</v>
      </c>
      <c r="I17" s="2" t="s">
        <v>44</v>
      </c>
      <c r="J17" s="2" t="s">
        <v>22</v>
      </c>
      <c r="K17" s="2" t="s">
        <v>16</v>
      </c>
      <c r="L17" s="2" t="s">
        <v>34</v>
      </c>
      <c r="M17" s="2" t="s">
        <v>35</v>
      </c>
      <c r="N17" s="2">
        <v>10853.73</v>
      </c>
      <c r="O17" s="2">
        <v>2442.15</v>
      </c>
    </row>
    <row r="18" spans="1:15" x14ac:dyDescent="0.3">
      <c r="A18" s="2" t="s">
        <v>45</v>
      </c>
      <c r="B18" s="2" t="s">
        <v>27</v>
      </c>
      <c r="C18" s="2" t="s">
        <v>23</v>
      </c>
      <c r="D18" s="2" t="s">
        <v>24</v>
      </c>
      <c r="E18" s="2" t="s">
        <v>18</v>
      </c>
      <c r="F18" s="2">
        <v>6540.32</v>
      </c>
      <c r="G18" s="2">
        <v>990.41</v>
      </c>
      <c r="I18" s="2" t="s">
        <v>45</v>
      </c>
      <c r="J18" s="2" t="s">
        <v>27</v>
      </c>
      <c r="K18" s="2" t="s">
        <v>23</v>
      </c>
      <c r="L18" s="2" t="s">
        <v>24</v>
      </c>
      <c r="M18" s="2" t="s">
        <v>18</v>
      </c>
      <c r="N18" s="2">
        <v>6540.32</v>
      </c>
      <c r="O18" s="2">
        <v>990.41</v>
      </c>
    </row>
    <row r="19" spans="1:15" x14ac:dyDescent="0.3">
      <c r="A19" s="2" t="s">
        <v>46</v>
      </c>
      <c r="B19" s="2" t="s">
        <v>32</v>
      </c>
      <c r="C19" s="2" t="s">
        <v>16</v>
      </c>
      <c r="D19" s="2" t="s">
        <v>38</v>
      </c>
      <c r="E19" s="2" t="s">
        <v>29</v>
      </c>
      <c r="F19" s="2">
        <v>10918.37</v>
      </c>
      <c r="G19" s="2">
        <v>4305.16</v>
      </c>
      <c r="I19" s="2" t="s">
        <v>46</v>
      </c>
      <c r="J19" s="2" t="s">
        <v>32</v>
      </c>
      <c r="K19" s="2" t="s">
        <v>16</v>
      </c>
      <c r="L19" s="2" t="s">
        <v>38</v>
      </c>
      <c r="M19" s="2" t="s">
        <v>29</v>
      </c>
      <c r="N19" s="2">
        <v>10918.37</v>
      </c>
      <c r="O19" s="2">
        <v>4305.16</v>
      </c>
    </row>
    <row r="20" spans="1:15" x14ac:dyDescent="0.3">
      <c r="A20" s="2" t="s">
        <v>48</v>
      </c>
      <c r="B20" s="2" t="s">
        <v>41</v>
      </c>
      <c r="C20" s="2" t="s">
        <v>49</v>
      </c>
      <c r="D20" s="2" t="s">
        <v>38</v>
      </c>
      <c r="E20" s="2" t="s">
        <v>35</v>
      </c>
      <c r="F20" s="2">
        <v>27163.21</v>
      </c>
      <c r="G20" s="2">
        <v>10074.25</v>
      </c>
      <c r="I20" s="2" t="s">
        <v>48</v>
      </c>
      <c r="J20" s="2" t="s">
        <v>41</v>
      </c>
      <c r="K20" s="2" t="s">
        <v>49</v>
      </c>
      <c r="L20" s="2" t="s">
        <v>38</v>
      </c>
      <c r="M20" s="2" t="s">
        <v>35</v>
      </c>
      <c r="N20" s="2">
        <v>27163.21</v>
      </c>
      <c r="O20" s="2">
        <v>10074.25</v>
      </c>
    </row>
    <row r="21" spans="1:15" x14ac:dyDescent="0.3">
      <c r="A21" s="2" t="s">
        <v>50</v>
      </c>
      <c r="B21" s="2" t="s">
        <v>51</v>
      </c>
      <c r="C21" s="2" t="s">
        <v>16</v>
      </c>
      <c r="D21" s="2" t="s">
        <v>34</v>
      </c>
      <c r="E21" s="2" t="s">
        <v>35</v>
      </c>
      <c r="F21" s="2">
        <v>4746.18</v>
      </c>
      <c r="G21" s="2">
        <v>1486.12</v>
      </c>
      <c r="I21" s="2" t="s">
        <v>50</v>
      </c>
      <c r="J21" s="2" t="s">
        <v>51</v>
      </c>
      <c r="K21" s="2" t="s">
        <v>16</v>
      </c>
      <c r="L21" s="2" t="s">
        <v>34</v>
      </c>
      <c r="M21" s="2" t="s">
        <v>35</v>
      </c>
      <c r="N21" s="2">
        <v>4746.18</v>
      </c>
      <c r="O21" s="2">
        <v>1486.12</v>
      </c>
    </row>
    <row r="22" spans="1:15" x14ac:dyDescent="0.3">
      <c r="A22" s="2" t="s">
        <v>53</v>
      </c>
      <c r="B22" s="2" t="s">
        <v>54</v>
      </c>
      <c r="C22" s="2" t="s">
        <v>42</v>
      </c>
      <c r="D22" s="2" t="s">
        <v>34</v>
      </c>
      <c r="E22" s="2" t="s">
        <v>18</v>
      </c>
      <c r="F22" s="2">
        <v>18491.32</v>
      </c>
      <c r="G22" s="2">
        <v>4119.8599999999997</v>
      </c>
      <c r="I22" s="2" t="s">
        <v>53</v>
      </c>
      <c r="J22" s="2" t="s">
        <v>54</v>
      </c>
      <c r="K22" s="2" t="s">
        <v>42</v>
      </c>
      <c r="L22" s="2" t="s">
        <v>34</v>
      </c>
      <c r="M22" s="2" t="s">
        <v>18</v>
      </c>
      <c r="N22" s="2">
        <v>18491.32</v>
      </c>
      <c r="O22" s="2">
        <v>4119.8599999999997</v>
      </c>
    </row>
    <row r="23" spans="1:15" x14ac:dyDescent="0.3">
      <c r="A23" s="2" t="s">
        <v>55</v>
      </c>
      <c r="B23" s="2" t="s">
        <v>15</v>
      </c>
      <c r="C23" s="2" t="s">
        <v>49</v>
      </c>
      <c r="D23" s="2" t="s">
        <v>24</v>
      </c>
      <c r="E23" s="2" t="s">
        <v>29</v>
      </c>
      <c r="F23" s="2">
        <v>10033.93</v>
      </c>
      <c r="G23" s="2">
        <v>4337.4799999999996</v>
      </c>
      <c r="I23" s="2" t="s">
        <v>55</v>
      </c>
      <c r="J23" s="2" t="s">
        <v>15</v>
      </c>
      <c r="K23" s="2" t="s">
        <v>49</v>
      </c>
      <c r="L23" s="2" t="s">
        <v>24</v>
      </c>
      <c r="M23" s="2" t="s">
        <v>29</v>
      </c>
      <c r="N23" s="2">
        <v>10033.93</v>
      </c>
      <c r="O23" s="2">
        <v>4337.4799999999996</v>
      </c>
    </row>
    <row r="24" spans="1:15" x14ac:dyDescent="0.3">
      <c r="A24" s="2" t="s">
        <v>57</v>
      </c>
      <c r="B24" s="2" t="s">
        <v>32</v>
      </c>
      <c r="C24" s="2" t="s">
        <v>23</v>
      </c>
      <c r="D24" s="2" t="s">
        <v>34</v>
      </c>
      <c r="E24" s="2" t="s">
        <v>35</v>
      </c>
      <c r="F24" s="2">
        <v>22190.58</v>
      </c>
      <c r="G24" s="2">
        <v>7806.34</v>
      </c>
      <c r="I24" s="2" t="s">
        <v>57</v>
      </c>
      <c r="J24" s="2" t="s">
        <v>32</v>
      </c>
      <c r="K24" s="2" t="s">
        <v>23</v>
      </c>
      <c r="L24" s="2" t="s">
        <v>34</v>
      </c>
      <c r="M24" s="2" t="s">
        <v>35</v>
      </c>
      <c r="N24" s="2">
        <v>22190.58</v>
      </c>
      <c r="O24" s="2">
        <v>7806.34</v>
      </c>
    </row>
    <row r="25" spans="1:15" x14ac:dyDescent="0.3">
      <c r="A25" s="2" t="s">
        <v>59</v>
      </c>
      <c r="B25" s="2" t="s">
        <v>27</v>
      </c>
      <c r="C25" s="2" t="s">
        <v>16</v>
      </c>
      <c r="D25" s="2" t="s">
        <v>38</v>
      </c>
      <c r="E25" s="2" t="s">
        <v>29</v>
      </c>
      <c r="F25" s="2">
        <v>6220.59</v>
      </c>
      <c r="G25" s="2">
        <v>1205.05</v>
      </c>
      <c r="I25" s="2" t="s">
        <v>59</v>
      </c>
      <c r="J25" s="2" t="s">
        <v>27</v>
      </c>
      <c r="K25" s="2" t="s">
        <v>16</v>
      </c>
      <c r="L25" s="2" t="s">
        <v>38</v>
      </c>
      <c r="M25" s="2" t="s">
        <v>29</v>
      </c>
      <c r="N25" s="2">
        <v>6220.59</v>
      </c>
      <c r="O25" s="2">
        <v>1205.05</v>
      </c>
    </row>
    <row r="26" spans="1:15" x14ac:dyDescent="0.3">
      <c r="A26" s="2" t="s">
        <v>60</v>
      </c>
      <c r="B26" s="2" t="s">
        <v>32</v>
      </c>
      <c r="C26" s="2" t="s">
        <v>16</v>
      </c>
      <c r="D26" s="2" t="s">
        <v>38</v>
      </c>
      <c r="E26" s="2" t="s">
        <v>18</v>
      </c>
      <c r="F26" s="2">
        <v>31139.48</v>
      </c>
      <c r="G26" s="2">
        <v>9364.69</v>
      </c>
      <c r="I26" s="2" t="s">
        <v>60</v>
      </c>
      <c r="J26" s="2" t="s">
        <v>32</v>
      </c>
      <c r="K26" s="2" t="s">
        <v>16</v>
      </c>
      <c r="L26" s="2" t="s">
        <v>38</v>
      </c>
      <c r="M26" s="2" t="s">
        <v>18</v>
      </c>
      <c r="N26" s="2">
        <v>31139.48</v>
      </c>
      <c r="O26" s="2">
        <v>9364.69</v>
      </c>
    </row>
    <row r="27" spans="1:15" x14ac:dyDescent="0.3">
      <c r="A27" s="2" t="s">
        <v>61</v>
      </c>
      <c r="B27" s="2" t="s">
        <v>62</v>
      </c>
      <c r="C27" s="2" t="s">
        <v>28</v>
      </c>
      <c r="D27" s="2" t="s">
        <v>17</v>
      </c>
      <c r="E27" s="2" t="s">
        <v>18</v>
      </c>
      <c r="F27" s="2">
        <v>37017.370000000003</v>
      </c>
      <c r="G27" s="2">
        <v>12134.94</v>
      </c>
      <c r="I27" s="2" t="s">
        <v>61</v>
      </c>
      <c r="J27" s="2" t="s">
        <v>62</v>
      </c>
      <c r="K27" s="2" t="s">
        <v>28</v>
      </c>
      <c r="L27" s="2" t="s">
        <v>17</v>
      </c>
      <c r="M27" s="2" t="s">
        <v>18</v>
      </c>
      <c r="N27" s="2">
        <v>37017.370000000003</v>
      </c>
      <c r="O27" s="2">
        <v>12134.94</v>
      </c>
    </row>
  </sheetData>
  <conditionalFormatting sqref="G10:G27">
    <cfRule type="top10" dxfId="7" priority="8" rank="10"/>
  </conditionalFormatting>
  <conditionalFormatting sqref="D10:D27">
    <cfRule type="cellIs" dxfId="6" priority="7" operator="equal">
      <formula>"India"</formula>
    </cfRule>
  </conditionalFormatting>
  <conditionalFormatting sqref="F10:F27">
    <cfRule type="top10" dxfId="5" priority="6" bottom="1" rank="10"/>
  </conditionalFormatting>
  <conditionalFormatting sqref="E10:E27">
    <cfRule type="cellIs" dxfId="4" priority="5" operator="equal">
      <formula>"Office Supplies"</formula>
    </cfRule>
  </conditionalFormatting>
  <conditionalFormatting sqref="C10:C27">
    <cfRule type="cellIs" dxfId="3" priority="4" operator="equal">
      <formula>"South"</formula>
    </cfRule>
  </conditionalFormatting>
  <conditionalFormatting sqref="B10:B27">
    <cfRule type="cellIs" dxfId="2" priority="3" operator="equal">
      <formula>"February"</formula>
    </cfRule>
  </conditionalFormatting>
  <conditionalFormatting sqref="I10:I27">
    <cfRule type="expression" dxfId="1" priority="1">
      <formula>I10=$R$16</formula>
    </cfRule>
    <cfRule type="expression" dxfId="0" priority="2">
      <formula>R16</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C3A13-7F2A-4CFF-9F9F-8AB46C3760F9}">
  <dimension ref="A3:K70"/>
  <sheetViews>
    <sheetView workbookViewId="0">
      <selection activeCell="B20" sqref="B20"/>
    </sheetView>
  </sheetViews>
  <sheetFormatPr defaultRowHeight="14.4" x14ac:dyDescent="0.3"/>
  <cols>
    <col min="1" max="1" width="12.5546875" bestFit="1" customWidth="1"/>
    <col min="2" max="2" width="11.6640625" bestFit="1" customWidth="1"/>
    <col min="3" max="3" width="12.109375" bestFit="1" customWidth="1"/>
    <col min="4" max="4" width="12.5546875" bestFit="1" customWidth="1"/>
    <col min="5" max="5" width="14.88671875" bestFit="1" customWidth="1"/>
    <col min="6" max="6" width="11.109375" bestFit="1" customWidth="1"/>
    <col min="7" max="7" width="17.5546875" bestFit="1" customWidth="1"/>
    <col min="8" max="8" width="11.109375" bestFit="1" customWidth="1"/>
    <col min="10" max="10" width="12.5546875" bestFit="1" customWidth="1"/>
    <col min="11" max="11" width="15.6640625" bestFit="1" customWidth="1"/>
  </cols>
  <sheetData>
    <row r="3" spans="1:11" x14ac:dyDescent="0.3">
      <c r="A3" s="36" t="s">
        <v>258</v>
      </c>
      <c r="B3" t="s">
        <v>261</v>
      </c>
      <c r="D3" s="36" t="s">
        <v>258</v>
      </c>
      <c r="E3" t="s">
        <v>260</v>
      </c>
      <c r="G3" s="36" t="s">
        <v>258</v>
      </c>
      <c r="H3" t="s">
        <v>263</v>
      </c>
      <c r="J3" s="36" t="s">
        <v>258</v>
      </c>
      <c r="K3" t="s">
        <v>262</v>
      </c>
    </row>
    <row r="4" spans="1:11" x14ac:dyDescent="0.3">
      <c r="A4" s="37" t="s">
        <v>27</v>
      </c>
      <c r="B4" s="46">
        <v>67849.100000000006</v>
      </c>
      <c r="D4" s="37" t="s">
        <v>28</v>
      </c>
      <c r="E4" s="46">
        <v>791669.02</v>
      </c>
      <c r="G4" s="37" t="s">
        <v>56</v>
      </c>
      <c r="H4" s="46">
        <v>895350.52000000025</v>
      </c>
      <c r="J4" s="37" t="s">
        <v>38</v>
      </c>
      <c r="K4" s="46">
        <v>295036.0267655123</v>
      </c>
    </row>
    <row r="5" spans="1:11" x14ac:dyDescent="0.3">
      <c r="A5" s="37" t="s">
        <v>51</v>
      </c>
      <c r="B5" s="46">
        <v>86270.12000000001</v>
      </c>
      <c r="D5" s="37" t="s">
        <v>23</v>
      </c>
      <c r="E5" s="46">
        <v>864851.53000000014</v>
      </c>
      <c r="G5" s="38" t="s">
        <v>18</v>
      </c>
      <c r="H5" s="46">
        <v>323989.69</v>
      </c>
      <c r="J5" s="38" t="s">
        <v>28</v>
      </c>
      <c r="K5" s="46">
        <v>91924.605801226542</v>
      </c>
    </row>
    <row r="6" spans="1:11" x14ac:dyDescent="0.3">
      <c r="A6" s="37" t="s">
        <v>32</v>
      </c>
      <c r="B6" s="46">
        <v>116153.09999999999</v>
      </c>
      <c r="D6" s="37" t="s">
        <v>16</v>
      </c>
      <c r="E6" s="46">
        <v>935638.46999999986</v>
      </c>
      <c r="G6" s="39" t="s">
        <v>47</v>
      </c>
      <c r="H6" s="46">
        <v>56916.219999999994</v>
      </c>
      <c r="J6" s="38" t="s">
        <v>23</v>
      </c>
      <c r="K6" s="46">
        <v>44690.710833333331</v>
      </c>
    </row>
    <row r="7" spans="1:11" x14ac:dyDescent="0.3">
      <c r="A7" s="37" t="s">
        <v>37</v>
      </c>
      <c r="B7" s="46">
        <v>84777</v>
      </c>
      <c r="D7" s="37" t="s">
        <v>42</v>
      </c>
      <c r="E7" s="46">
        <v>726710.28000000014</v>
      </c>
      <c r="G7" s="39" t="s">
        <v>39</v>
      </c>
      <c r="H7" s="46">
        <v>40908.17</v>
      </c>
      <c r="J7" s="38" t="s">
        <v>16</v>
      </c>
      <c r="K7" s="46">
        <v>20703.541777056278</v>
      </c>
    </row>
    <row r="8" spans="1:11" x14ac:dyDescent="0.3">
      <c r="A8" s="37" t="s">
        <v>83</v>
      </c>
      <c r="B8" s="46">
        <v>63789.610000000008</v>
      </c>
      <c r="D8" s="37" t="s">
        <v>49</v>
      </c>
      <c r="E8" s="46">
        <v>651026.38000000012</v>
      </c>
      <c r="G8" s="39" t="s">
        <v>58</v>
      </c>
      <c r="H8" s="46">
        <v>45652.06</v>
      </c>
      <c r="J8" s="38" t="s">
        <v>42</v>
      </c>
      <c r="K8" s="46">
        <v>99218.490892857153</v>
      </c>
    </row>
    <row r="9" spans="1:11" x14ac:dyDescent="0.3">
      <c r="A9" s="37" t="s">
        <v>15</v>
      </c>
      <c r="B9" s="46">
        <v>70018.990000000005</v>
      </c>
      <c r="D9" s="37" t="s">
        <v>259</v>
      </c>
      <c r="E9" s="46">
        <v>3969895.6800000006</v>
      </c>
      <c r="G9" s="39" t="s">
        <v>52</v>
      </c>
      <c r="H9" s="46">
        <v>75706.649999999994</v>
      </c>
      <c r="J9" s="38" t="s">
        <v>49</v>
      </c>
      <c r="K9" s="46">
        <v>38498.677461038962</v>
      </c>
    </row>
    <row r="10" spans="1:11" x14ac:dyDescent="0.3">
      <c r="A10" s="37" t="s">
        <v>22</v>
      </c>
      <c r="B10" s="46">
        <v>129923.63</v>
      </c>
      <c r="G10" s="39" t="s">
        <v>19</v>
      </c>
      <c r="H10" s="46">
        <v>84957.51</v>
      </c>
      <c r="J10" s="37" t="s">
        <v>34</v>
      </c>
      <c r="K10" s="46">
        <v>218142.94481385284</v>
      </c>
    </row>
    <row r="11" spans="1:11" x14ac:dyDescent="0.3">
      <c r="A11" s="37" t="s">
        <v>54</v>
      </c>
      <c r="B11" s="46">
        <v>119678.06999999999</v>
      </c>
      <c r="G11" s="39" t="s">
        <v>30</v>
      </c>
      <c r="H11" s="46">
        <v>19849.080000000002</v>
      </c>
      <c r="J11" s="38" t="s">
        <v>28</v>
      </c>
      <c r="K11" s="46">
        <v>26238.711833333335</v>
      </c>
    </row>
    <row r="12" spans="1:11" x14ac:dyDescent="0.3">
      <c r="A12" s="37" t="s">
        <v>64</v>
      </c>
      <c r="B12" s="46">
        <v>120702.00000000001</v>
      </c>
      <c r="D12" s="36" t="s">
        <v>258</v>
      </c>
      <c r="E12" t="s">
        <v>277</v>
      </c>
      <c r="G12" s="38" t="s">
        <v>29</v>
      </c>
      <c r="H12" s="46">
        <v>350660.96</v>
      </c>
      <c r="J12" s="38" t="s">
        <v>23</v>
      </c>
      <c r="K12" s="46">
        <v>81337.085595238095</v>
      </c>
    </row>
    <row r="13" spans="1:11" x14ac:dyDescent="0.3">
      <c r="A13" s="37" t="s">
        <v>67</v>
      </c>
      <c r="B13" s="46">
        <v>116900.77</v>
      </c>
      <c r="D13" s="37" t="s">
        <v>56</v>
      </c>
      <c r="E13" s="46">
        <v>364</v>
      </c>
      <c r="G13" s="39" t="s">
        <v>47</v>
      </c>
      <c r="H13" s="46">
        <v>44853.4</v>
      </c>
      <c r="J13" s="38" t="s">
        <v>16</v>
      </c>
      <c r="K13" s="46">
        <v>74635.789370851373</v>
      </c>
    </row>
    <row r="14" spans="1:11" x14ac:dyDescent="0.3">
      <c r="A14" s="37" t="s">
        <v>62</v>
      </c>
      <c r="B14" s="46">
        <v>107101.70999999999</v>
      </c>
      <c r="D14" s="37" t="s">
        <v>20</v>
      </c>
      <c r="E14" s="46">
        <v>482</v>
      </c>
      <c r="G14" s="39" t="s">
        <v>39</v>
      </c>
      <c r="H14" s="46">
        <v>119253.11</v>
      </c>
      <c r="J14" s="38" t="s">
        <v>42</v>
      </c>
      <c r="K14" s="46">
        <v>26783.215014430014</v>
      </c>
    </row>
    <row r="15" spans="1:11" x14ac:dyDescent="0.3">
      <c r="A15" s="37" t="s">
        <v>41</v>
      </c>
      <c r="B15" s="46">
        <v>98345.160000000018</v>
      </c>
      <c r="D15" s="37" t="s">
        <v>25</v>
      </c>
      <c r="E15" s="46">
        <v>336</v>
      </c>
      <c r="G15" s="39" t="s">
        <v>58</v>
      </c>
      <c r="H15" s="46">
        <v>28991.940000000002</v>
      </c>
      <c r="J15" s="38" t="s">
        <v>49</v>
      </c>
      <c r="K15" s="46">
        <v>9148.143</v>
      </c>
    </row>
    <row r="16" spans="1:11" x14ac:dyDescent="0.3">
      <c r="A16" s="37" t="s">
        <v>259</v>
      </c>
      <c r="B16" s="46">
        <v>1181509.26</v>
      </c>
      <c r="D16" s="37" t="s">
        <v>259</v>
      </c>
      <c r="E16" s="46">
        <v>1182</v>
      </c>
      <c r="G16" s="39" t="s">
        <v>52</v>
      </c>
      <c r="H16" s="46">
        <v>61159.520000000011</v>
      </c>
      <c r="J16" s="37" t="s">
        <v>24</v>
      </c>
      <c r="K16" s="46">
        <v>212175.36595310245</v>
      </c>
    </row>
    <row r="17" spans="1:11" x14ac:dyDescent="0.3">
      <c r="G17" s="39" t="s">
        <v>19</v>
      </c>
      <c r="H17" s="46">
        <v>51451.94</v>
      </c>
      <c r="J17" s="38" t="s">
        <v>28</v>
      </c>
      <c r="K17" s="46">
        <v>28369.899148629149</v>
      </c>
    </row>
    <row r="18" spans="1:11" x14ac:dyDescent="0.3">
      <c r="A18" s="36" t="s">
        <v>258</v>
      </c>
      <c r="B18" t="s">
        <v>260</v>
      </c>
      <c r="G18" s="39" t="s">
        <v>30</v>
      </c>
      <c r="H18" s="46">
        <v>44951.05</v>
      </c>
      <c r="J18" s="38" t="s">
        <v>23</v>
      </c>
      <c r="K18" s="46">
        <v>61463.360775974026</v>
      </c>
    </row>
    <row r="19" spans="1:11" x14ac:dyDescent="0.3">
      <c r="A19" s="37" t="s">
        <v>38</v>
      </c>
      <c r="B19" s="46">
        <v>838515.97000000009</v>
      </c>
      <c r="G19" s="38" t="s">
        <v>35</v>
      </c>
      <c r="H19" s="46">
        <v>220699.87</v>
      </c>
      <c r="J19" s="38" t="s">
        <v>16</v>
      </c>
      <c r="K19" s="46">
        <v>82797.541936147172</v>
      </c>
    </row>
    <row r="20" spans="1:11" x14ac:dyDescent="0.3">
      <c r="A20" s="37" t="s">
        <v>34</v>
      </c>
      <c r="B20" s="46">
        <v>813240.44000000006</v>
      </c>
      <c r="G20" s="39" t="s">
        <v>47</v>
      </c>
      <c r="H20" s="46">
        <v>39468.800000000003</v>
      </c>
      <c r="J20" s="38" t="s">
        <v>42</v>
      </c>
      <c r="K20" s="46">
        <v>12915.584285714287</v>
      </c>
    </row>
    <row r="21" spans="1:11" x14ac:dyDescent="0.3">
      <c r="A21" s="37" t="s">
        <v>24</v>
      </c>
      <c r="B21" s="46">
        <v>786656.83</v>
      </c>
      <c r="G21" s="39" t="s">
        <v>39</v>
      </c>
      <c r="H21" s="46">
        <v>19674.72</v>
      </c>
      <c r="J21" s="38" t="s">
        <v>49</v>
      </c>
      <c r="K21" s="46">
        <v>26628.97980663781</v>
      </c>
    </row>
    <row r="22" spans="1:11" x14ac:dyDescent="0.3">
      <c r="A22" s="37" t="s">
        <v>17</v>
      </c>
      <c r="B22" s="46">
        <v>840243.01000000013</v>
      </c>
      <c r="G22" s="39" t="s">
        <v>58</v>
      </c>
      <c r="H22" s="46">
        <v>24149.57</v>
      </c>
      <c r="J22" s="37" t="s">
        <v>17</v>
      </c>
      <c r="K22" s="46">
        <v>230107.22091702741</v>
      </c>
    </row>
    <row r="23" spans="1:11" x14ac:dyDescent="0.3">
      <c r="A23" s="37" t="s">
        <v>43</v>
      </c>
      <c r="B23" s="46">
        <v>691239.42999999982</v>
      </c>
      <c r="G23" s="39" t="s">
        <v>52</v>
      </c>
      <c r="H23" s="46">
        <v>25993.54</v>
      </c>
      <c r="J23" s="38" t="s">
        <v>28</v>
      </c>
      <c r="K23" s="46">
        <v>56013.148833333325</v>
      </c>
    </row>
    <row r="24" spans="1:11" x14ac:dyDescent="0.3">
      <c r="A24" s="37" t="s">
        <v>259</v>
      </c>
      <c r="B24" s="46">
        <v>3969895.68</v>
      </c>
      <c r="G24" s="39" t="s">
        <v>19</v>
      </c>
      <c r="H24" s="46">
        <v>61130.44</v>
      </c>
      <c r="J24" s="38" t="s">
        <v>23</v>
      </c>
      <c r="K24" s="46">
        <v>44199.023038961037</v>
      </c>
    </row>
    <row r="25" spans="1:11" x14ac:dyDescent="0.3">
      <c r="G25" s="39" t="s">
        <v>30</v>
      </c>
      <c r="H25" s="46">
        <v>50282.8</v>
      </c>
      <c r="J25" s="38" t="s">
        <v>16</v>
      </c>
      <c r="K25" s="46">
        <v>68320.665999999997</v>
      </c>
    </row>
    <row r="26" spans="1:11" x14ac:dyDescent="0.3">
      <c r="G26" s="37" t="s">
        <v>20</v>
      </c>
      <c r="H26" s="46">
        <v>1039977.8599999999</v>
      </c>
      <c r="J26" s="38" t="s">
        <v>42</v>
      </c>
      <c r="K26" s="46">
        <v>35430.049949494947</v>
      </c>
    </row>
    <row r="27" spans="1:11" x14ac:dyDescent="0.3">
      <c r="G27" s="38" t="s">
        <v>18</v>
      </c>
      <c r="H27" s="46">
        <v>411359.93</v>
      </c>
      <c r="J27" s="38" t="s">
        <v>49</v>
      </c>
      <c r="K27" s="46">
        <v>26144.333095238097</v>
      </c>
    </row>
    <row r="28" spans="1:11" x14ac:dyDescent="0.3">
      <c r="G28" s="39" t="s">
        <v>47</v>
      </c>
      <c r="H28" s="46">
        <v>54596.33</v>
      </c>
      <c r="J28" s="37" t="s">
        <v>43</v>
      </c>
      <c r="K28" s="46">
        <v>193814.36371789323</v>
      </c>
    </row>
    <row r="29" spans="1:11" x14ac:dyDescent="0.3">
      <c r="G29" s="39" t="s">
        <v>39</v>
      </c>
      <c r="H29" s="46">
        <v>81407.06</v>
      </c>
      <c r="J29" s="38" t="s">
        <v>28</v>
      </c>
      <c r="K29" s="46">
        <v>43399.521646464644</v>
      </c>
    </row>
    <row r="30" spans="1:11" x14ac:dyDescent="0.3">
      <c r="G30" s="39" t="s">
        <v>58</v>
      </c>
      <c r="H30" s="46">
        <v>35451.11</v>
      </c>
      <c r="J30" s="38" t="s">
        <v>23</v>
      </c>
      <c r="K30" s="46">
        <v>39463.382272727271</v>
      </c>
    </row>
    <row r="31" spans="1:11" x14ac:dyDescent="0.3">
      <c r="G31" s="39" t="s">
        <v>52</v>
      </c>
      <c r="H31" s="46">
        <v>70730.010000000009</v>
      </c>
      <c r="J31" s="38" t="s">
        <v>16</v>
      </c>
      <c r="K31" s="46">
        <v>17294.537965367967</v>
      </c>
    </row>
    <row r="32" spans="1:11" x14ac:dyDescent="0.3">
      <c r="G32" s="39" t="s">
        <v>19</v>
      </c>
      <c r="H32" s="46">
        <v>95198.48</v>
      </c>
      <c r="J32" s="38" t="s">
        <v>42</v>
      </c>
      <c r="K32" s="46">
        <v>68480.790277777778</v>
      </c>
    </row>
    <row r="33" spans="7:11" x14ac:dyDescent="0.3">
      <c r="G33" s="39" t="s">
        <v>30</v>
      </c>
      <c r="H33" s="46">
        <v>73976.94</v>
      </c>
      <c r="J33" s="38" t="s">
        <v>49</v>
      </c>
      <c r="K33" s="46">
        <v>25176.131555555556</v>
      </c>
    </row>
    <row r="34" spans="7:11" x14ac:dyDescent="0.3">
      <c r="G34" s="38" t="s">
        <v>29</v>
      </c>
      <c r="H34" s="46">
        <v>320249.82</v>
      </c>
      <c r="J34" s="37" t="s">
        <v>259</v>
      </c>
      <c r="K34" s="46">
        <v>1149275.922167388</v>
      </c>
    </row>
    <row r="35" spans="7:11" x14ac:dyDescent="0.3">
      <c r="G35" s="39" t="s">
        <v>47</v>
      </c>
      <c r="H35" s="46">
        <v>55517.79</v>
      </c>
    </row>
    <row r="36" spans="7:11" x14ac:dyDescent="0.3">
      <c r="G36" s="39" t="s">
        <v>39</v>
      </c>
      <c r="H36" s="46">
        <v>75186.720000000001</v>
      </c>
    </row>
    <row r="37" spans="7:11" x14ac:dyDescent="0.3">
      <c r="G37" s="39" t="s">
        <v>58</v>
      </c>
      <c r="H37" s="46">
        <v>80830.55</v>
      </c>
    </row>
    <row r="38" spans="7:11" x14ac:dyDescent="0.3">
      <c r="G38" s="39" t="s">
        <v>52</v>
      </c>
      <c r="H38" s="46">
        <v>19635.86</v>
      </c>
    </row>
    <row r="39" spans="7:11" x14ac:dyDescent="0.3">
      <c r="G39" s="39" t="s">
        <v>19</v>
      </c>
      <c r="H39" s="46">
        <v>75436.08</v>
      </c>
    </row>
    <row r="40" spans="7:11" x14ac:dyDescent="0.3">
      <c r="G40" s="39" t="s">
        <v>30</v>
      </c>
      <c r="H40" s="46">
        <v>13642.82</v>
      </c>
    </row>
    <row r="41" spans="7:11" x14ac:dyDescent="0.3">
      <c r="G41" s="38" t="s">
        <v>35</v>
      </c>
      <c r="H41" s="46">
        <v>308368.11</v>
      </c>
    </row>
    <row r="42" spans="7:11" x14ac:dyDescent="0.3">
      <c r="G42" s="39" t="s">
        <v>47</v>
      </c>
      <c r="H42" s="46">
        <v>82010.62</v>
      </c>
    </row>
    <row r="43" spans="7:11" x14ac:dyDescent="0.3">
      <c r="G43" s="39" t="s">
        <v>39</v>
      </c>
      <c r="H43" s="46">
        <v>45148.72</v>
      </c>
    </row>
    <row r="44" spans="7:11" x14ac:dyDescent="0.3">
      <c r="G44" s="39" t="s">
        <v>58</v>
      </c>
      <c r="H44" s="46">
        <v>39596.159999999996</v>
      </c>
    </row>
    <row r="45" spans="7:11" x14ac:dyDescent="0.3">
      <c r="G45" s="39" t="s">
        <v>52</v>
      </c>
      <c r="H45" s="46">
        <v>62513.490000000005</v>
      </c>
    </row>
    <row r="46" spans="7:11" x14ac:dyDescent="0.3">
      <c r="G46" s="39" t="s">
        <v>19</v>
      </c>
      <c r="H46" s="46">
        <v>21833.55</v>
      </c>
    </row>
    <row r="47" spans="7:11" x14ac:dyDescent="0.3">
      <c r="G47" s="39" t="s">
        <v>30</v>
      </c>
      <c r="H47" s="46">
        <v>57265.570000000007</v>
      </c>
    </row>
    <row r="48" spans="7:11" x14ac:dyDescent="0.3">
      <c r="G48" s="37" t="s">
        <v>25</v>
      </c>
      <c r="H48" s="46">
        <v>853058.03999999992</v>
      </c>
    </row>
    <row r="49" spans="7:8" x14ac:dyDescent="0.3">
      <c r="G49" s="38" t="s">
        <v>18</v>
      </c>
      <c r="H49" s="46">
        <v>280520.70999999996</v>
      </c>
    </row>
    <row r="50" spans="7:8" x14ac:dyDescent="0.3">
      <c r="G50" s="39" t="s">
        <v>47</v>
      </c>
      <c r="H50" s="46">
        <v>29204.15</v>
      </c>
    </row>
    <row r="51" spans="7:8" x14ac:dyDescent="0.3">
      <c r="G51" s="39" t="s">
        <v>39</v>
      </c>
      <c r="H51" s="46">
        <v>52410</v>
      </c>
    </row>
    <row r="52" spans="7:8" x14ac:dyDescent="0.3">
      <c r="G52" s="39" t="s">
        <v>58</v>
      </c>
      <c r="H52" s="46">
        <v>72795.47</v>
      </c>
    </row>
    <row r="53" spans="7:8" x14ac:dyDescent="0.3">
      <c r="G53" s="39" t="s">
        <v>52</v>
      </c>
      <c r="H53" s="46">
        <v>57210.869999999995</v>
      </c>
    </row>
    <row r="54" spans="7:8" x14ac:dyDescent="0.3">
      <c r="G54" s="39" t="s">
        <v>19</v>
      </c>
      <c r="H54" s="46">
        <v>34871.300000000003</v>
      </c>
    </row>
    <row r="55" spans="7:8" x14ac:dyDescent="0.3">
      <c r="G55" s="39" t="s">
        <v>30</v>
      </c>
      <c r="H55" s="46">
        <v>34028.92</v>
      </c>
    </row>
    <row r="56" spans="7:8" x14ac:dyDescent="0.3">
      <c r="G56" s="38" t="s">
        <v>29</v>
      </c>
      <c r="H56" s="46">
        <v>236268.68</v>
      </c>
    </row>
    <row r="57" spans="7:8" x14ac:dyDescent="0.3">
      <c r="G57" s="39" t="s">
        <v>47</v>
      </c>
      <c r="H57" s="46">
        <v>58181.759999999995</v>
      </c>
    </row>
    <row r="58" spans="7:8" x14ac:dyDescent="0.3">
      <c r="G58" s="39" t="s">
        <v>39</v>
      </c>
      <c r="H58" s="46">
        <v>62465.68</v>
      </c>
    </row>
    <row r="59" spans="7:8" x14ac:dyDescent="0.3">
      <c r="G59" s="39" t="s">
        <v>58</v>
      </c>
      <c r="H59" s="46">
        <v>30877.829999999998</v>
      </c>
    </row>
    <row r="60" spans="7:8" x14ac:dyDescent="0.3">
      <c r="G60" s="39" t="s">
        <v>52</v>
      </c>
      <c r="H60" s="46">
        <v>36629.729999999996</v>
      </c>
    </row>
    <row r="61" spans="7:8" x14ac:dyDescent="0.3">
      <c r="G61" s="39" t="s">
        <v>19</v>
      </c>
      <c r="H61" s="46">
        <v>26043.93</v>
      </c>
    </row>
    <row r="62" spans="7:8" x14ac:dyDescent="0.3">
      <c r="G62" s="39" t="s">
        <v>30</v>
      </c>
      <c r="H62" s="46">
        <v>22069.75</v>
      </c>
    </row>
    <row r="63" spans="7:8" x14ac:dyDescent="0.3">
      <c r="G63" s="38" t="s">
        <v>35</v>
      </c>
      <c r="H63" s="46">
        <v>336268.64999999997</v>
      </c>
    </row>
    <row r="64" spans="7:8" x14ac:dyDescent="0.3">
      <c r="G64" s="39" t="s">
        <v>47</v>
      </c>
      <c r="H64" s="46">
        <v>97509.669999999984</v>
      </c>
    </row>
    <row r="65" spans="7:8" x14ac:dyDescent="0.3">
      <c r="G65" s="39" t="s">
        <v>39</v>
      </c>
      <c r="H65" s="46">
        <v>54565.649999999994</v>
      </c>
    </row>
    <row r="66" spans="7:8" x14ac:dyDescent="0.3">
      <c r="G66" s="39" t="s">
        <v>58</v>
      </c>
      <c r="H66" s="46">
        <v>23515.690000000002</v>
      </c>
    </row>
    <row r="67" spans="7:8" x14ac:dyDescent="0.3">
      <c r="G67" s="39" t="s">
        <v>52</v>
      </c>
      <c r="H67" s="46">
        <v>12710.859999999999</v>
      </c>
    </row>
    <row r="68" spans="7:8" x14ac:dyDescent="0.3">
      <c r="G68" s="39" t="s">
        <v>19</v>
      </c>
      <c r="H68" s="46">
        <v>98118.430000000008</v>
      </c>
    </row>
    <row r="69" spans="7:8" x14ac:dyDescent="0.3">
      <c r="G69" s="39" t="s">
        <v>30</v>
      </c>
      <c r="H69" s="46">
        <v>49848.35</v>
      </c>
    </row>
    <row r="70" spans="7:8" x14ac:dyDescent="0.3">
      <c r="G70" s="37" t="s">
        <v>259</v>
      </c>
      <c r="H70" s="46">
        <v>2788386.4200000004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84EA4-0874-4604-9F0C-0E9AA20D6DB4}">
  <dimension ref="A1"/>
  <sheetViews>
    <sheetView tabSelected="1" workbookViewId="0">
      <selection activeCell="V20" sqref="V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Index &amp; Match</vt:lpstr>
      <vt:lpstr>VLookUp</vt:lpstr>
      <vt:lpstr>HLookUp</vt:lpstr>
      <vt:lpstr>Count &amp; Sum</vt:lpstr>
      <vt:lpstr>Conditional Formatting</vt:lpstr>
      <vt:lpstr>PivotTable</vt:lpstr>
      <vt:lpstr>Pivot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Arunangshu Bachaspati</dc:creator>
  <cp:lastModifiedBy>Arunangshu Bachaspati</cp:lastModifiedBy>
  <dcterms:created xsi:type="dcterms:W3CDTF">2026-02-06T04:25:25Z</dcterms:created>
  <dcterms:modified xsi:type="dcterms:W3CDTF">2026-02-11T07:57:29Z</dcterms:modified>
</cp:coreProperties>
</file>